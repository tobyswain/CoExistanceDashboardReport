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byswain\Downloads\"/>
    </mc:Choice>
  </mc:AlternateContent>
  <xr:revisionPtr revIDLastSave="0" documentId="13_ncr:1_{CA9AD5A7-B18F-47A7-A53A-F4D5DFC16F08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Summary Dashboard" sheetId="1" r:id="rId1"/>
    <sheet name="Baseline Data" sheetId="2" r:id="rId2"/>
    <sheet name="Current Period" sheetId="3" r:id="rId3"/>
    <sheet name="Activity Daily Summary" sheetId="4" r:id="rId4"/>
    <sheet name="Individual Activity" sheetId="5" r:id="rId5"/>
    <sheet name="Lists" sheetId="6" r:id="rId6"/>
    <sheet name="Read M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5" l="1"/>
  <c r="E56" i="5" s="1"/>
  <c r="A55" i="5"/>
  <c r="G55" i="5" s="1"/>
  <c r="C54" i="5"/>
  <c r="B54" i="5"/>
  <c r="A54" i="5"/>
  <c r="E54" i="5" s="1"/>
  <c r="H53" i="5"/>
  <c r="G53" i="5"/>
  <c r="F53" i="5"/>
  <c r="D53" i="5"/>
  <c r="C53" i="5"/>
  <c r="A53" i="5"/>
  <c r="E53" i="5" s="1"/>
  <c r="C52" i="5"/>
  <c r="A52" i="5"/>
  <c r="E52" i="5" s="1"/>
  <c r="H51" i="5"/>
  <c r="G51" i="5"/>
  <c r="F51" i="5"/>
  <c r="E51" i="5"/>
  <c r="D51" i="5"/>
  <c r="A51" i="5"/>
  <c r="C51" i="5" s="1"/>
  <c r="A50" i="5"/>
  <c r="E50" i="5" s="1"/>
  <c r="H49" i="5"/>
  <c r="A49" i="5"/>
  <c r="E49" i="5" s="1"/>
  <c r="H48" i="5"/>
  <c r="G48" i="5"/>
  <c r="F48" i="5"/>
  <c r="E48" i="5"/>
  <c r="D48" i="5"/>
  <c r="C48" i="5"/>
  <c r="B48" i="5"/>
  <c r="A48" i="5"/>
  <c r="A47" i="5"/>
  <c r="E47" i="5" s="1"/>
  <c r="H46" i="5"/>
  <c r="G46" i="5"/>
  <c r="F46" i="5"/>
  <c r="D46" i="5"/>
  <c r="A46" i="5"/>
  <c r="E46" i="5" s="1"/>
  <c r="A45" i="5"/>
  <c r="B45" i="5" s="1"/>
  <c r="H44" i="5"/>
  <c r="B44" i="5"/>
  <c r="A44" i="5"/>
  <c r="E44" i="5" s="1"/>
  <c r="H43" i="5"/>
  <c r="G43" i="5"/>
  <c r="F43" i="5"/>
  <c r="D43" i="5"/>
  <c r="C43" i="5"/>
  <c r="B43" i="5"/>
  <c r="A43" i="5"/>
  <c r="E43" i="5" s="1"/>
  <c r="A42" i="5"/>
  <c r="H42" i="5" s="1"/>
  <c r="H41" i="5"/>
  <c r="G41" i="5"/>
  <c r="F41" i="5"/>
  <c r="A41" i="5"/>
  <c r="E41" i="5" s="1"/>
  <c r="A40" i="5"/>
  <c r="E40" i="5" s="1"/>
  <c r="H39" i="5"/>
  <c r="C39" i="5"/>
  <c r="A39" i="5"/>
  <c r="G39" i="5" s="1"/>
  <c r="H38" i="5"/>
  <c r="G38" i="5"/>
  <c r="F38" i="5"/>
  <c r="D38" i="5"/>
  <c r="C38" i="5"/>
  <c r="B38" i="5"/>
  <c r="A38" i="5"/>
  <c r="E38" i="5" s="1"/>
  <c r="A37" i="5"/>
  <c r="E37" i="5" s="1"/>
  <c r="H36" i="5"/>
  <c r="G36" i="5"/>
  <c r="F36" i="5"/>
  <c r="A36" i="5"/>
  <c r="E36" i="5" s="1"/>
  <c r="C35" i="5"/>
  <c r="B35" i="5"/>
  <c r="A35" i="5"/>
  <c r="E35" i="5" s="1"/>
  <c r="C34" i="5"/>
  <c r="A34" i="5"/>
  <c r="E34" i="5" s="1"/>
  <c r="H33" i="5"/>
  <c r="G33" i="5"/>
  <c r="F33" i="5"/>
  <c r="E33" i="5"/>
  <c r="D33" i="5"/>
  <c r="C33" i="5"/>
  <c r="A33" i="5"/>
  <c r="B33" i="5" s="1"/>
  <c r="A32" i="5"/>
  <c r="E32" i="5" s="1"/>
  <c r="H31" i="5"/>
  <c r="G31" i="5"/>
  <c r="A31" i="5"/>
  <c r="E31" i="5" s="1"/>
  <c r="H30" i="5"/>
  <c r="G30" i="5"/>
  <c r="F30" i="5"/>
  <c r="E30" i="5"/>
  <c r="D30" i="5"/>
  <c r="C30" i="5"/>
  <c r="B30" i="5"/>
  <c r="A30" i="5"/>
  <c r="A29" i="5"/>
  <c r="H29" i="5" s="1"/>
  <c r="A28" i="5"/>
  <c r="E28" i="5" s="1"/>
  <c r="H27" i="5"/>
  <c r="C27" i="5"/>
  <c r="A27" i="5"/>
  <c r="G27" i="5" s="1"/>
  <c r="A26" i="5"/>
  <c r="F26" i="5" s="1"/>
  <c r="H25" i="5"/>
  <c r="G25" i="5"/>
  <c r="A25" i="5"/>
  <c r="E25" i="5" s="1"/>
  <c r="H24" i="5"/>
  <c r="G24" i="5"/>
  <c r="F24" i="5"/>
  <c r="E24" i="5"/>
  <c r="D24" i="5"/>
  <c r="C24" i="5"/>
  <c r="B24" i="5"/>
  <c r="A24" i="5"/>
  <c r="C23" i="5"/>
  <c r="A23" i="5"/>
  <c r="F23" i="5" s="1"/>
  <c r="H22" i="5"/>
  <c r="G22" i="5"/>
  <c r="F22" i="5"/>
  <c r="D22" i="5"/>
  <c r="C22" i="5"/>
  <c r="B22" i="5"/>
  <c r="A22" i="5"/>
  <c r="E22" i="5" s="1"/>
  <c r="A21" i="5"/>
  <c r="H21" i="5" s="1"/>
  <c r="H20" i="5"/>
  <c r="G20" i="5"/>
  <c r="A20" i="5"/>
  <c r="F20" i="5" s="1"/>
  <c r="A19" i="5"/>
  <c r="E19" i="5" s="1"/>
  <c r="H18" i="5"/>
  <c r="C18" i="5"/>
  <c r="A18" i="5"/>
  <c r="G18" i="5" s="1"/>
  <c r="A17" i="5"/>
  <c r="F17" i="5" s="1"/>
  <c r="C16" i="5"/>
  <c r="A16" i="5"/>
  <c r="E16" i="5" s="1"/>
  <c r="H15" i="5"/>
  <c r="G15" i="5"/>
  <c r="F15" i="5"/>
  <c r="E15" i="5"/>
  <c r="D15" i="5"/>
  <c r="C15" i="5"/>
  <c r="B15" i="5"/>
  <c r="A15" i="5"/>
  <c r="AN11" i="5"/>
  <c r="G11" i="5" s="1"/>
  <c r="AM11" i="5"/>
  <c r="F11" i="5" s="1"/>
  <c r="AL11" i="5"/>
  <c r="AK11" i="5"/>
  <c r="AJ11" i="5"/>
  <c r="C11" i="5" s="1"/>
  <c r="AI11" i="5"/>
  <c r="B11" i="5" s="1"/>
  <c r="AH11" i="5"/>
  <c r="A11" i="5" s="1"/>
  <c r="E11" i="5"/>
  <c r="D11" i="5"/>
  <c r="AN10" i="5"/>
  <c r="AM10" i="5"/>
  <c r="AL10" i="5"/>
  <c r="E10" i="5" s="1"/>
  <c r="AK10" i="5"/>
  <c r="AJ10" i="5"/>
  <c r="C10" i="5" s="1"/>
  <c r="AI10" i="5"/>
  <c r="B10" i="5" s="1"/>
  <c r="AH10" i="5"/>
  <c r="A10" i="5" s="1"/>
  <c r="G10" i="5"/>
  <c r="F10" i="5"/>
  <c r="D10" i="5"/>
  <c r="AN9" i="5"/>
  <c r="G9" i="5" s="1"/>
  <c r="AM9" i="5"/>
  <c r="AL9" i="5"/>
  <c r="AK9" i="5"/>
  <c r="D9" i="5" s="1"/>
  <c r="AJ9" i="5"/>
  <c r="C9" i="5" s="1"/>
  <c r="AI9" i="5"/>
  <c r="B9" i="5" s="1"/>
  <c r="AH9" i="5"/>
  <c r="A9" i="5" s="1"/>
  <c r="F9" i="5"/>
  <c r="E9" i="5"/>
  <c r="AN8" i="5"/>
  <c r="G8" i="5" s="1"/>
  <c r="AM8" i="5"/>
  <c r="F8" i="5" s="1"/>
  <c r="AL8" i="5"/>
  <c r="E8" i="5" s="1"/>
  <c r="AK8" i="5"/>
  <c r="D8" i="5" s="1"/>
  <c r="AJ8" i="5"/>
  <c r="C8" i="5" s="1"/>
  <c r="AI8" i="5"/>
  <c r="AH8" i="5"/>
  <c r="A8" i="5" s="1"/>
  <c r="B8" i="5"/>
  <c r="AN7" i="5"/>
  <c r="G7" i="5" s="1"/>
  <c r="AM7" i="5"/>
  <c r="F7" i="5" s="1"/>
  <c r="AL7" i="5"/>
  <c r="E7" i="5" s="1"/>
  <c r="AK7" i="5"/>
  <c r="D7" i="5" s="1"/>
  <c r="AJ7" i="5"/>
  <c r="C7" i="5" s="1"/>
  <c r="AI7" i="5"/>
  <c r="B7" i="5" s="1"/>
  <c r="AH7" i="5"/>
  <c r="A7" i="5"/>
  <c r="AN6" i="5"/>
  <c r="G6" i="5" s="1"/>
  <c r="AM6" i="5"/>
  <c r="AL6" i="5"/>
  <c r="E6" i="5" s="1"/>
  <c r="AK6" i="5"/>
  <c r="D6" i="5" s="1"/>
  <c r="AJ6" i="5"/>
  <c r="C6" i="5" s="1"/>
  <c r="AI6" i="5"/>
  <c r="B6" i="5" s="1"/>
  <c r="AH6" i="5"/>
  <c r="A6" i="5" s="1"/>
  <c r="F6" i="5"/>
  <c r="B23" i="1"/>
  <c r="C22" i="1"/>
  <c r="B22" i="1"/>
  <c r="O7" i="1"/>
  <c r="O6" i="1"/>
  <c r="K6" i="1"/>
  <c r="I6" i="1"/>
  <c r="G6" i="1"/>
  <c r="E6" i="1"/>
  <c r="C6" i="1"/>
  <c r="A6" i="1"/>
  <c r="O5" i="1"/>
  <c r="O4" i="1"/>
  <c r="O3" i="1"/>
  <c r="R2" i="1"/>
  <c r="O2" i="1"/>
  <c r="G17" i="5" l="1"/>
  <c r="C19" i="5"/>
  <c r="B21" i="5"/>
  <c r="B26" i="5"/>
  <c r="C28" i="5"/>
  <c r="B32" i="5"/>
  <c r="D35" i="5"/>
  <c r="C40" i="5"/>
  <c r="C45" i="5"/>
  <c r="B50" i="5"/>
  <c r="C55" i="5"/>
  <c r="H17" i="5"/>
  <c r="D19" i="5"/>
  <c r="C21" i="5"/>
  <c r="G26" i="5"/>
  <c r="D28" i="5"/>
  <c r="C32" i="5"/>
  <c r="F35" i="5"/>
  <c r="B37" i="5"/>
  <c r="D40" i="5"/>
  <c r="B42" i="5"/>
  <c r="D45" i="5"/>
  <c r="C50" i="5"/>
  <c r="D55" i="5"/>
  <c r="B40" i="5"/>
  <c r="F19" i="5"/>
  <c r="D21" i="5"/>
  <c r="F28" i="5"/>
  <c r="D32" i="5"/>
  <c r="G35" i="5"/>
  <c r="C37" i="5"/>
  <c r="F40" i="5"/>
  <c r="C42" i="5"/>
  <c r="E45" i="5"/>
  <c r="B47" i="5"/>
  <c r="D50" i="5"/>
  <c r="F55" i="5"/>
  <c r="C17" i="5"/>
  <c r="B19" i="5"/>
  <c r="B16" i="5"/>
  <c r="B18" i="5"/>
  <c r="G19" i="5"/>
  <c r="E21" i="5"/>
  <c r="B23" i="5"/>
  <c r="B27" i="5"/>
  <c r="G28" i="5"/>
  <c r="F32" i="5"/>
  <c r="B34" i="5"/>
  <c r="H35" i="5"/>
  <c r="D37" i="5"/>
  <c r="B39" i="5"/>
  <c r="G40" i="5"/>
  <c r="D42" i="5"/>
  <c r="F45" i="5"/>
  <c r="C47" i="5"/>
  <c r="F50" i="5"/>
  <c r="B52" i="5"/>
  <c r="H55" i="5"/>
  <c r="H19" i="5"/>
  <c r="H28" i="5"/>
  <c r="G32" i="5"/>
  <c r="F37" i="5"/>
  <c r="H40" i="5"/>
  <c r="E42" i="5"/>
  <c r="G45" i="5"/>
  <c r="D47" i="5"/>
  <c r="G50" i="5"/>
  <c r="F21" i="5"/>
  <c r="D16" i="5"/>
  <c r="D18" i="5"/>
  <c r="G21" i="5"/>
  <c r="D23" i="5"/>
  <c r="B25" i="5"/>
  <c r="D27" i="5"/>
  <c r="B31" i="5"/>
  <c r="H32" i="5"/>
  <c r="D34" i="5"/>
  <c r="B36" i="5"/>
  <c r="G37" i="5"/>
  <c r="D39" i="5"/>
  <c r="F42" i="5"/>
  <c r="C44" i="5"/>
  <c r="H45" i="5"/>
  <c r="F47" i="5"/>
  <c r="B49" i="5"/>
  <c r="H50" i="5"/>
  <c r="D52" i="5"/>
  <c r="B56" i="5"/>
  <c r="B28" i="5"/>
  <c r="B55" i="5"/>
  <c r="F16" i="5"/>
  <c r="E18" i="5"/>
  <c r="B20" i="5"/>
  <c r="G23" i="5"/>
  <c r="C25" i="5"/>
  <c r="E27" i="5"/>
  <c r="B29" i="5"/>
  <c r="C31" i="5"/>
  <c r="F34" i="5"/>
  <c r="C36" i="5"/>
  <c r="H37" i="5"/>
  <c r="E39" i="5"/>
  <c r="B41" i="5"/>
  <c r="G42" i="5"/>
  <c r="D44" i="5"/>
  <c r="G47" i="5"/>
  <c r="C49" i="5"/>
  <c r="F52" i="5"/>
  <c r="D54" i="5"/>
  <c r="D56" i="5"/>
  <c r="B17" i="5"/>
  <c r="G16" i="5"/>
  <c r="F18" i="5"/>
  <c r="C20" i="5"/>
  <c r="H23" i="5"/>
  <c r="D25" i="5"/>
  <c r="F27" i="5"/>
  <c r="C29" i="5"/>
  <c r="D31" i="5"/>
  <c r="G34" i="5"/>
  <c r="D36" i="5"/>
  <c r="F39" i="5"/>
  <c r="C41" i="5"/>
  <c r="F44" i="5"/>
  <c r="B46" i="5"/>
  <c r="H47" i="5"/>
  <c r="D49" i="5"/>
  <c r="B51" i="5"/>
  <c r="G52" i="5"/>
  <c r="F54" i="5"/>
  <c r="F56" i="5"/>
  <c r="H16" i="5"/>
  <c r="D20" i="5"/>
  <c r="F25" i="5"/>
  <c r="F31" i="5"/>
  <c r="H34" i="5"/>
  <c r="D41" i="5"/>
  <c r="G44" i="5"/>
  <c r="C46" i="5"/>
  <c r="F49" i="5"/>
  <c r="H52" i="5"/>
  <c r="G54" i="5"/>
  <c r="G56" i="5"/>
  <c r="G49" i="5"/>
  <c r="H54" i="5"/>
  <c r="H56" i="5"/>
  <c r="H26" i="5"/>
  <c r="E55" i="5"/>
  <c r="B53" i="5"/>
  <c r="C26" i="5"/>
  <c r="C56" i="5"/>
  <c r="D17" i="5"/>
  <c r="D26" i="5"/>
  <c r="D29" i="5"/>
  <c r="E17" i="5"/>
  <c r="E20" i="5"/>
  <c r="E23" i="5"/>
  <c r="E26" i="5"/>
  <c r="E29" i="5"/>
  <c r="F29" i="5"/>
  <c r="G29" i="5"/>
</calcChain>
</file>

<file path=xl/sharedStrings.xml><?xml version="1.0" encoding="utf-8"?>
<sst xmlns="http://schemas.openxmlformats.org/spreadsheetml/2006/main" count="11404" uniqueCount="2600">
  <si>
    <t>Co-existence Summary Dashboard</t>
  </si>
  <si>
    <t>Selected Cost Component</t>
  </si>
  <si>
    <t>Value</t>
  </si>
  <si>
    <t>Utilisation View</t>
  </si>
  <si>
    <t>Rate</t>
  </si>
  <si>
    <t>Branch</t>
  </si>
  <si>
    <t>Co-existence Cost (£)</t>
  </si>
  <si>
    <t>Annual Leave</t>
  </si>
  <si>
    <t>Selected Branch</t>
  </si>
  <si>
    <t>Birmingham</t>
  </si>
  <si>
    <t>Branch View</t>
  </si>
  <si>
    <t>All</t>
  </si>
  <si>
    <t>Select a branch to update the KPIs and branch-specific charts. National internal recharge is controlled to £0.</t>
  </si>
  <si>
    <t>Other Leave</t>
  </si>
  <si>
    <t>National</t>
  </si>
  <si>
    <t>Bristol</t>
  </si>
  <si>
    <t>Operational Under-utilisation</t>
  </si>
  <si>
    <t>Cambridge</t>
  </si>
  <si>
    <t>Contract Utilisation</t>
  </si>
  <si>
    <t>Annual Leave Cost</t>
  </si>
  <si>
    <t>Other Leave Cost</t>
  </si>
  <si>
    <t>Avoidable Agency Cost</t>
  </si>
  <si>
    <t>Co-existence Cost</t>
  </si>
  <si>
    <t>Avoidable Agency</t>
  </si>
  <si>
    <t>Croydon</t>
  </si>
  <si>
    <t>Structural Agency</t>
  </si>
  <si>
    <t>Glasgow</t>
  </si>
  <si>
    <t>Internal Recharge</t>
  </si>
  <si>
    <t>Leeds</t>
  </si>
  <si>
    <t>Manchester</t>
  </si>
  <si>
    <t>Oxford</t>
  </si>
  <si>
    <t>Utilisation</t>
  </si>
  <si>
    <t>Annual Leave (£)</t>
  </si>
  <si>
    <t>Other Leave (£)</t>
  </si>
  <si>
    <t>Under-utilisation (£)</t>
  </si>
  <si>
    <t>Permanent Inefficiency (£)</t>
  </si>
  <si>
    <t>Avoidable Agency (£)</t>
  </si>
  <si>
    <t>Structural Agency (£)</t>
  </si>
  <si>
    <t>Co-existence (£)</t>
  </si>
  <si>
    <t>Internal Recharge (£)</t>
  </si>
  <si>
    <t>Thurrock</t>
  </si>
  <si>
    <t>Control</t>
  </si>
  <si>
    <t>Status</t>
  </si>
  <si>
    <t>National internal recharge</t>
  </si>
  <si>
    <t>Current-period selected utilisation</t>
  </si>
  <si>
    <t>Costs remain provisional</t>
  </si>
  <si>
    <t>Costed Baseline to 28 June 2026</t>
  </si>
  <si>
    <t>Annual Leave Cost (£)</t>
  </si>
  <si>
    <t>Other Leave Cost (£)</t>
  </si>
  <si>
    <t>Operational Under-utilisation (£)</t>
  </si>
  <si>
    <t>Internal Recharge In / (Out) (£)</t>
  </si>
  <si>
    <t>Current Period — 29 June to 16 July 2026</t>
  </si>
  <si>
    <t>Uncosted Agency Days</t>
  </si>
  <si>
    <t>Daily Individual Activity Source — 1 to 16 July 2026</t>
  </si>
  <si>
    <t>Key</t>
  </si>
  <si>
    <t>Date</t>
  </si>
  <si>
    <t>Name</t>
  </si>
  <si>
    <t>Employment Status</t>
  </si>
  <si>
    <t>Activity Branch</t>
  </si>
  <si>
    <t>Reporting Role</t>
  </si>
  <si>
    <t>Jobs</t>
  </si>
  <si>
    <t>Customers</t>
  </si>
  <si>
    <t>Actual Hours</t>
  </si>
  <si>
    <t>Activity Code</t>
  </si>
  <si>
    <t>Activity Detail</t>
  </si>
  <si>
    <t>A Apanisile|2026-07-01</t>
  </si>
  <si>
    <t>A Apanisile</t>
  </si>
  <si>
    <t>Permanent</t>
  </si>
  <si>
    <t>Operative Porter</t>
  </si>
  <si>
    <t>402264</t>
  </si>
  <si>
    <t>AlixPartners LLP</t>
  </si>
  <si>
    <t>Worked</t>
  </si>
  <si>
    <t>Worked: 1 record(s) | Branch: Thurrock | Role: Operative Porter | Jobs: 402264 | Customers: AlixPartners LLP | Hours: 7.5</t>
  </si>
  <si>
    <t>A Apanisile|2026-07-02</t>
  </si>
  <si>
    <t>401175</t>
  </si>
  <si>
    <t>Hogan Lovells LLP</t>
  </si>
  <si>
    <t>Worked: 1 record(s) | Branch: Thurrock | Role: Operative Porter | Jobs: 401175 | Customers: Hogan Lovells LLP | Hours: 5.5</t>
  </si>
  <si>
    <t>A Apanisile|2026-07-03</t>
  </si>
  <si>
    <t>Worked: 1 record(s) | Branch: Thurrock | Role: Operative Porter | Jobs: 401175 | Customers: Hogan Lovells LLP | Hours: 17.0</t>
  </si>
  <si>
    <t>A Apanisile|2026-07-06</t>
  </si>
  <si>
    <t>Worked: 1 record(s) | Branch: Thurrock | Role: Operative Porter | Jobs: 401175 | Customers: Hogan Lovells LLP | Hours: 11.5</t>
  </si>
  <si>
    <t>A Apanisile|2026-07-07</t>
  </si>
  <si>
    <t>Operative Skilled</t>
  </si>
  <si>
    <t>403219</t>
  </si>
  <si>
    <t>Jurado/Slendy</t>
  </si>
  <si>
    <t>Worked: 1 record(s) | Branch: Thurrock | Role: Operative Skilled | Jobs: 403219 | Customers: Jurado/Slendy | Hours: 8.5</t>
  </si>
  <si>
    <t>A Apanisile|2026-07-08</t>
  </si>
  <si>
    <t>Worked: 1 record(s) | Branch: Thurrock | Role: Operative Skilled | Jobs: 403219 | Customers: Jurado/Slendy | Hours: 8.0</t>
  </si>
  <si>
    <t>A Apanisile|2026-07-09</t>
  </si>
  <si>
    <t>398126</t>
  </si>
  <si>
    <t>Saunders/Tracey</t>
  </si>
  <si>
    <t>Worked: 1 record(s) | Branch: Thurrock | Role: Operative Skilled | Jobs: 398126 | Customers: Saunders/Tracey | Hours: 8.5</t>
  </si>
  <si>
    <t>A Apanisile|2026-07-10</t>
  </si>
  <si>
    <t>403150, 403315</t>
  </si>
  <si>
    <t>Bank of America Merrill Lynch; Knotel UK Ltd</t>
  </si>
  <si>
    <t>Worked — 2 records</t>
  </si>
  <si>
    <t>Worked: 2 record(s) | Branch: Thurrock | Role: Operative Porter | Jobs: 403150, 403315 | Customers: Bank of America Merrill Lynch; Knotel UK Ltd | Hours: 15.0</t>
  </si>
  <si>
    <t>A Apanisile|2026-07-11</t>
  </si>
  <si>
    <t>403315</t>
  </si>
  <si>
    <t>Bank of America Merrill Lynch</t>
  </si>
  <si>
    <t>Worked: 1 record(s) | Branch: Thurrock | Role: Operative Porter | Jobs: 403315 | Customers: Bank of America Merrill Lynch | Hours: 8.5</t>
  </si>
  <si>
    <t>A Apanisile|2026-07-13</t>
  </si>
  <si>
    <t>398446</t>
  </si>
  <si>
    <t>Royal Entomological society</t>
  </si>
  <si>
    <t>Worked: 1 record(s) | Branch: Thurrock | Role: Operative Porter | Jobs: 398446 | Customers: Royal Entomological society | Hours: 8.5</t>
  </si>
  <si>
    <t>A Apanisile|2026-07-14</t>
  </si>
  <si>
    <t>Worked: 1 record(s) | Branch: Thurrock | Role: Operative Porter | Jobs: 398446 | Customers: Royal Entomological society | Hours: 11.0</t>
  </si>
  <si>
    <t>A Apanisile|2026-07-15</t>
  </si>
  <si>
    <t>Worked: 1 record(s) | Branch: Thurrock | Role: Operative Porter | Jobs: 398446 | Customers: Royal Entomological society | Hours: 8.0</t>
  </si>
  <si>
    <t>A Barladeanu|2026-07-01</t>
  </si>
  <si>
    <t>A Barladeanu</t>
  </si>
  <si>
    <t>403163</t>
  </si>
  <si>
    <t>University of Hertfordshire</t>
  </si>
  <si>
    <t>Worked: 1 record(s) | Branch: Thurrock | Role: Operative Skilled | Jobs: 403163 | Customers: University of Hertfordshire | Hours: 8.0</t>
  </si>
  <si>
    <t>A Barladeanu|2026-07-02</t>
  </si>
  <si>
    <t>Worked: 1 record(s) | Branch: Thurrock | Role: Operative Skilled | Jobs: 403219 | Customers: Jurado/Slendy | Hours: 2.5</t>
  </si>
  <si>
    <t>A Barladeanu|2026-07-03</t>
  </si>
  <si>
    <t>403160</t>
  </si>
  <si>
    <t>Bnp Paribas Limited</t>
  </si>
  <si>
    <t>Worked: 1 record(s) | Branch: Thurrock | Role: Operative Skilled | Jobs: 403160 | Customers: Bnp Paribas Limited | Hours: 10.0</t>
  </si>
  <si>
    <t>A Barladeanu|2026-07-04</t>
  </si>
  <si>
    <t>Worked: 1 record(s) | Branch: Thurrock | Role: Operative Skilled | Jobs: 403160 | Customers: Bnp Paribas Limited | Hours: 10.5</t>
  </si>
  <si>
    <t>A Barladeanu|2026-07-05</t>
  </si>
  <si>
    <t>A Barladeanu|2026-07-06</t>
  </si>
  <si>
    <t>403087</t>
  </si>
  <si>
    <t>Heywood/Ms Theresa</t>
  </si>
  <si>
    <t>Worked: 1 record(s) | Branch: Thurrock | Role: Operative Skilled | Jobs: 403087 | Customers: Heywood/Ms Theresa | Hours: 9.0</t>
  </si>
  <si>
    <t>A Barladeanu|2026-07-07</t>
  </si>
  <si>
    <t>Worked: 1 record(s) | Branch: Thurrock | Role: Operative Skilled | Jobs: 403087 | Customers: Heywood/Ms Theresa | Hours: 8.0</t>
  </si>
  <si>
    <t>A Barladeanu|2026-07-15</t>
  </si>
  <si>
    <t>403221, 403481</t>
  </si>
  <si>
    <t>Jalloh/Ms Fatmata; Mr Oluwasegun Olawale/Ms Esther O. Daramola</t>
  </si>
  <si>
    <t>Worked: 2 record(s) | Branch: Thurrock | Role: Operative Skilled | Jobs: 403221, 403481 | Customers: Jalloh/Ms Fatmata; Mr Oluwasegun Olawale/Ms Esther O. Daramola | Hours: 4.5</t>
  </si>
  <si>
    <t>Al Fofana|2026-07-01</t>
  </si>
  <si>
    <t>Al Fofana</t>
  </si>
  <si>
    <t>Worked: 1 record(s) | Branch: Thurrock | Role: Operative Porter | Jobs: 403163 | Customers: University of Hertfordshire | Hours: 8.0</t>
  </si>
  <si>
    <t>Al Fofana|2026-07-02</t>
  </si>
  <si>
    <t>403094</t>
  </si>
  <si>
    <t>Everyday Lending Ltd T/A Evlo</t>
  </si>
  <si>
    <t>Worked: 1 record(s) | Branch: Croydon | Role: Operative Skilled | Jobs: 403094 | Customers: Everyday Lending Ltd T/A Evlo | Hours: 10.5</t>
  </si>
  <si>
    <t>Al Fofana|2026-07-03</t>
  </si>
  <si>
    <t>403162, 403239</t>
  </si>
  <si>
    <t>Bank of America Merrill Lynch; HSBC - BAU July</t>
  </si>
  <si>
    <t>Worked: 2 record(s) | Branch: Thurrock | Role: Operative Porter | Jobs: 403162, 403239 | Customers: Bank of America Merrill Lynch; HSBC - BAU July | Hours: 16.0</t>
  </si>
  <si>
    <t>Al Fofana|2026-07-04</t>
  </si>
  <si>
    <t>403264</t>
  </si>
  <si>
    <t>JP Morgan Limited</t>
  </si>
  <si>
    <t>Worked: 1 record(s) | Branch: Thurrock | Role: Operative Skilled | Jobs: 403264 | Customers: JP Morgan Limited | Hours: 8.5</t>
  </si>
  <si>
    <t>Al Fofana|2026-07-05</t>
  </si>
  <si>
    <t>Al Fofana|2026-07-06</t>
  </si>
  <si>
    <t>403083</t>
  </si>
  <si>
    <t>Kaur/Ms Tina</t>
  </si>
  <si>
    <t>Worked: 1 record(s) | Branch: Thurrock | Role: Operative Skilled | Jobs: 403083 | Customers: Kaur/Ms Tina | Hours: 8.5</t>
  </si>
  <si>
    <t>Al Fofana|2026-07-07</t>
  </si>
  <si>
    <t>402282</t>
  </si>
  <si>
    <t>M Moser Associates</t>
  </si>
  <si>
    <t>Worked: 1 record(s) | Branch: Thurrock | Role: Operative Porter | Jobs: 402282 | Customers: M Moser Associates | Hours: 8.5</t>
  </si>
  <si>
    <t>Al Fofana|2026-07-08</t>
  </si>
  <si>
    <t>403041</t>
  </si>
  <si>
    <t>The Fru</t>
  </si>
  <si>
    <t>Worked: 1 record(s) | Branch: Thurrock | Role: Operative Porter | Jobs: 403041 | Customers: The Fru | Hours: 8.0</t>
  </si>
  <si>
    <t>Al Fofana|2026-07-09</t>
  </si>
  <si>
    <t>402876</t>
  </si>
  <si>
    <t>Bishops</t>
  </si>
  <si>
    <t>Worked: 1 record(s) | Branch: Thurrock | Role: Operative Skilled | Jobs: 402876 | Customers: Bishops | Hours: 7.5</t>
  </si>
  <si>
    <t>Al Fofana|2026-07-10</t>
  </si>
  <si>
    <t>Worked: 1 record(s) | Branch: Thurrock | Role: Operative Skilled | Jobs: 403264 | Customers: JP Morgan Limited | Hours: 7.5</t>
  </si>
  <si>
    <t>Al Fofana|2026-07-11</t>
  </si>
  <si>
    <t>Al Fofana|2026-07-12</t>
  </si>
  <si>
    <t>Worked: 1 record(s) | Branch: Thurrock | Role: Operative Porter | Jobs: 403264 | Customers: JP Morgan Limited | Hours: 8.5</t>
  </si>
  <si>
    <t>Al Fofana|2026-07-13</t>
  </si>
  <si>
    <t>401992</t>
  </si>
  <si>
    <t>The Bible Society</t>
  </si>
  <si>
    <t>Worked: 1 record(s) | Branch: Thurrock | Role: Operative Porter | Jobs: 401992 | Customers: The Bible Society | Hours: 12.0</t>
  </si>
  <si>
    <t>Al Fofana|2026-07-14</t>
  </si>
  <si>
    <t>Al Fofana|2026-07-15</t>
  </si>
  <si>
    <t>Worked: 1 record(s) | Branch: Thurrock | Role: Operative Porter | Jobs: 398446 | Customers: Royal Entomological society | Hours: 9.5</t>
  </si>
  <si>
    <t>Andy Corser|2026-07-01</t>
  </si>
  <si>
    <t>Andy Corser</t>
  </si>
  <si>
    <t>Operative Driver</t>
  </si>
  <si>
    <t>402667</t>
  </si>
  <si>
    <t>Intellectual Property Office</t>
  </si>
  <si>
    <t>Worked: 1 record(s) | Branch: Manchester | Role: Operative Driver | Jobs: 402667 | Customers: Intellectual Property Office | Hours: 8.0</t>
  </si>
  <si>
    <t>Andy Corser|2026-07-02</t>
  </si>
  <si>
    <t>401369</t>
  </si>
  <si>
    <t>Canal &amp; River Trust</t>
  </si>
  <si>
    <t>Worked: 1 record(s) | Branch: Birmingham | Role: Operative Driver | Jobs: 401369 | Customers: Canal &amp; River Trust | Hours: 6.5</t>
  </si>
  <si>
    <t>Andy Corser|2026-07-03</t>
  </si>
  <si>
    <t>401084</t>
  </si>
  <si>
    <t>Total System Services Processing Europe Ltd</t>
  </si>
  <si>
    <t>Worked: 1 record(s) | Branch: Birmingham | Role: Operative Porter | Jobs: 401084 | Customers: Total System Services Processing Europe Ltd | Hours: 9.0</t>
  </si>
  <si>
    <t>Andy Corser|2026-07-06</t>
  </si>
  <si>
    <t>403056, 403169, 403196</t>
  </si>
  <si>
    <t>CTVC Ltd; University of Manchester</t>
  </si>
  <si>
    <t>Worked — 3 records</t>
  </si>
  <si>
    <t>Worked: 3 record(s) | Branch: Manchester | Role: Operative Driver | Jobs: 403056, 403169, 403196 | Customers: CTVC Ltd; University of Manchester | Hours: 8.2</t>
  </si>
  <si>
    <t>Andy Corser|2026-07-07</t>
  </si>
  <si>
    <t>402514</t>
  </si>
  <si>
    <t>MOJ - Sodexo SR:59311</t>
  </si>
  <si>
    <t>Worked: 1 record(s) | Branch: Manchester | Role: Operative Driver | Jobs: 402514 | Customers: MOJ - Sodexo SR:59311 | Hours: 3.5</t>
  </si>
  <si>
    <t>Andy Corser|2026-07-08</t>
  </si>
  <si>
    <t>397251</t>
  </si>
  <si>
    <t>Lancaster University (Leadership Centre)</t>
  </si>
  <si>
    <t>Worked: 1 record(s) | Branch: Manchester | Role: Operative Driver | Jobs: 397251 | Customers: Lancaster University (Leadership Centre) | Hours: 8.5</t>
  </si>
  <si>
    <t>Andy Corser|2026-07-09</t>
  </si>
  <si>
    <t>402961</t>
  </si>
  <si>
    <t>John Rylands University Library</t>
  </si>
  <si>
    <t>Worked: 1 record(s) | Branch: Manchester | Role: Operative Driver | Jobs: 402961 | Customers: John Rylands University Library | Hours: 11.5</t>
  </si>
  <si>
    <t>Andy Corser|2026-07-10</t>
  </si>
  <si>
    <t>Worked: 1 record(s) | Branch: Birmingham | Role: Operative Porter | Jobs: 401369 | Customers: Canal &amp; River Trust | Hours: 7.5</t>
  </si>
  <si>
    <t>Andy Corser|2026-07-13</t>
  </si>
  <si>
    <t>403340</t>
  </si>
  <si>
    <t>Kirklees Council - Domestic</t>
  </si>
  <si>
    <t>Worked: 1 record(s) | Branch: Leeds | Role: Operative Porter | Jobs: 403340 | Customers: Kirklees Council - Domestic | Hours: 6.5</t>
  </si>
  <si>
    <t>Andy Corser|2026-07-14</t>
  </si>
  <si>
    <t>402564</t>
  </si>
  <si>
    <t>Midland Heart Limited</t>
  </si>
  <si>
    <t>Worked: 1 record(s) | Branch: Birmingham | Role: Operative Driver | Jobs: 402564 | Customers: Midland Heart Limited | Hours: 5.0</t>
  </si>
  <si>
    <t>Andy Corser|2026-07-15</t>
  </si>
  <si>
    <t>398549</t>
  </si>
  <si>
    <t>Wakefield Council - Upton Primary School</t>
  </si>
  <si>
    <t>Worked: 1 record(s) | Branch: Leeds | Role: Operative Porter | Jobs: 398549 | Customers: Wakefield Council - Upton Primary School | Hours: 8.5</t>
  </si>
  <si>
    <t>Andy Docherty|2026-07-01</t>
  </si>
  <si>
    <t>Andy Docherty</t>
  </si>
  <si>
    <t>402883</t>
  </si>
  <si>
    <t>Worked: 1 record(s) | Branch: Thurrock | Role: Operative Skilled | Jobs: 402883 | Customers: Bank of America Merrill Lynch | Hours: 8.5</t>
  </si>
  <si>
    <t>Andy Docherty|2026-07-02</t>
  </si>
  <si>
    <t>Andy Docherty|2026-07-03</t>
  </si>
  <si>
    <t>402883, 403162</t>
  </si>
  <si>
    <t>Worked: 2 record(s) | Branch: Thurrock | Role: Operative Skilled | Jobs: 402883, 403162 | Customers: Bank of America Merrill Lynch | Hours: 15.5</t>
  </si>
  <si>
    <t>Andy Docherty|2026-07-09</t>
  </si>
  <si>
    <t>402929</t>
  </si>
  <si>
    <t>Cadwalader Wickersham &amp; Taft LLP</t>
  </si>
  <si>
    <t>Worked: 1 record(s) | Branch: Thurrock | Role: Operative Porter | Jobs: 402929 | Customers: Cadwalader Wickersham &amp; Taft LLP | Hours: 7.5</t>
  </si>
  <si>
    <t>Andy Docherty|2026-07-10</t>
  </si>
  <si>
    <t>Worked: 1 record(s) | Branch: Thurrock | Role: Operative Skilled | Jobs: 403315 | Customers: Bank of America Merrill Lynch | Hours: 6.5</t>
  </si>
  <si>
    <t>Andy Docherty|2026-07-11</t>
  </si>
  <si>
    <t>Worked: 1 record(s) | Branch: Thurrock | Role: Operative Skilled | Jobs: 403315 | Customers: Bank of America Merrill Lynch | Hours: 8.5</t>
  </si>
  <si>
    <t>Andy Docherty|2026-07-13</t>
  </si>
  <si>
    <t>Andy Docherty|2026-07-15</t>
  </si>
  <si>
    <t>403423</t>
  </si>
  <si>
    <t>Worked: 1 record(s) | Branch: Thurrock | Role: Operative Skilled | Jobs: 403423 | Customers: Bank of America Merrill Lynch | Hours: 8.5</t>
  </si>
  <si>
    <t>Anthony Norville|2026-07-01</t>
  </si>
  <si>
    <t>Anthony Norville</t>
  </si>
  <si>
    <t>403004</t>
  </si>
  <si>
    <t>Avantor ( CAMBRIDGE JULY  2026 )</t>
  </si>
  <si>
    <t>Worked: 1 record(s) | Branch: Cambridge | Role: Operative Porter | Jobs: 403004 | Customers: Avantor ( CAMBRIDGE JULY  2026 ) | Hours: 4.0</t>
  </si>
  <si>
    <t>Anthony Norville|2026-07-02</t>
  </si>
  <si>
    <t>402717</t>
  </si>
  <si>
    <t>Anglia Ruskin University</t>
  </si>
  <si>
    <t>Worked: 1 record(s) | Branch: Cambridge | Role: Operative Porter | Jobs: 402717 | Customers: Anglia Ruskin University | Hours: 8.5</t>
  </si>
  <si>
    <t>Anthony Norville|2026-07-03</t>
  </si>
  <si>
    <t>403073</t>
  </si>
  <si>
    <t>Worked: 1 record(s) | Branch: Cambridge | Role: Operative Porter | Jobs: 403073 | Customers: Anglia Ruskin University | Hours: 8.5</t>
  </si>
  <si>
    <t>Anthony Norville|2026-07-06</t>
  </si>
  <si>
    <t>402350</t>
  </si>
  <si>
    <t>Anglia Ruskin University - Graduation Ceremonies</t>
  </si>
  <si>
    <t>Worked: 1 record(s) | Branch: Cambridge | Role: Operative Porter | Jobs: 402350 | Customers: Anglia Ruskin University - Graduation Ceremonies | Hours: 14.0</t>
  </si>
  <si>
    <t>Anthony Norville|2026-07-07</t>
  </si>
  <si>
    <t>Anthony Norville|2026-07-10</t>
  </si>
  <si>
    <t>Worked: 1 record(s) | Branch: Cambridge | Role: Operative Porter | Jobs: 403004 | Customers: Avantor ( CAMBRIDGE JULY  2026 ) | Hours: 7.5</t>
  </si>
  <si>
    <t>Antony Fawcett|2026-07-06</t>
  </si>
  <si>
    <t>Antony Fawcett</t>
  </si>
  <si>
    <t>402323, 402591A, 403082</t>
  </si>
  <si>
    <t>HM Prison and Probation Service; Kirklees Council  - Sarah Copeland; MOJ - Sodexo SR:60799</t>
  </si>
  <si>
    <t>Worked: 3 record(s) | Branch: Leeds | Role: Operative Porter | Jobs: 402323, 402591A, 403082 | Customers: HM Prison and Probation Service; Kirklees Council  - Sarah Copeland; MOJ - Sodexo SR:60799 | Hours: 9.2</t>
  </si>
  <si>
    <t>Antony Fawcett|2026-07-07</t>
  </si>
  <si>
    <t>402901</t>
  </si>
  <si>
    <t>Kirklees Council - Miss Hanley</t>
  </si>
  <si>
    <t>Worked: 1 record(s) | Branch: Leeds | Role: Operative Porter | Jobs: 402901 | Customers: Kirklees Council - Miss Hanley | Hours: 8.5</t>
  </si>
  <si>
    <t>Antony Fawcett|2026-07-08</t>
  </si>
  <si>
    <t>402430</t>
  </si>
  <si>
    <t>Kirklees Council-Katina Farnsworth</t>
  </si>
  <si>
    <t>Worked: 1 record(s) | Branch: Leeds | Role: Operative Porter | Jobs: 402430 | Customers: Kirklees Council-Katina Farnsworth | Hours: 6.0</t>
  </si>
  <si>
    <t>Antony Fawcett|2026-07-09</t>
  </si>
  <si>
    <t>403046</t>
  </si>
  <si>
    <t>HSBC - July 2026 Deliveries</t>
  </si>
  <si>
    <t>Worked: 1 record(s) | Branch: Birmingham | Role: Operative Porter | Jobs: 403046 | Customers: HSBC - July 2026 Deliveries | Hours: 6.2</t>
  </si>
  <si>
    <t>Antony Fawcett|2026-07-14</t>
  </si>
  <si>
    <t>403126</t>
  </si>
  <si>
    <t>Kirklees Council - Samantha Sheard</t>
  </si>
  <si>
    <t>Worked: 1 record(s) | Branch: Leeds | Role: Operative Porter | Jobs: 403126 | Customers: Kirklees Council - Samantha Sheard | Hours: 6.5</t>
  </si>
  <si>
    <t>Antony Fawcett|2026-07-15</t>
  </si>
  <si>
    <t>Worked: 1 record(s) | Branch: Leeds | Role: Operative Porter | Jobs: 398549 | Customers: Wakefield Council - Upton Primary School | Hours: 8.0</t>
  </si>
  <si>
    <t>B Gibbons|2026-07-01</t>
  </si>
  <si>
    <t>B Gibbons</t>
  </si>
  <si>
    <t>Worked: 1 record(s) | Branch: Thurrock | Role: Operative Porter | Jobs: 401175 | Customers: Hogan Lovells LLP | Hours: 9.5</t>
  </si>
  <si>
    <t>B Gibbons|2026-07-02</t>
  </si>
  <si>
    <t>B Gibbons|2026-07-03</t>
  </si>
  <si>
    <t>Worked: 1 record(s) | Branch: Thurrock | Role: Operative Porter | Jobs: 401175 | Customers: Hogan Lovells LLP | Hours: 8.5</t>
  </si>
  <si>
    <t>B Gibbons|2026-07-06</t>
  </si>
  <si>
    <t>B Gibbons|2026-07-07</t>
  </si>
  <si>
    <t>402575</t>
  </si>
  <si>
    <t>Latham &amp; Watkins</t>
  </si>
  <si>
    <t>Worked: 1 record(s) | Branch: Thurrock | Role: Operative Porter | Jobs: 402575 | Customers: Latham &amp; Watkins | Hours: 8.5</t>
  </si>
  <si>
    <t>B Gibbons|2026-07-08</t>
  </si>
  <si>
    <t>B Gibbons|2026-07-09</t>
  </si>
  <si>
    <t>Worked: 1 record(s) | Branch: Thurrock | Role: Operative Porter | Jobs: 402929 | Customers: Cadwalader Wickersham &amp; Taft LLP | Hours: 10.5</t>
  </si>
  <si>
    <t>B Gibbons|2026-07-15</t>
  </si>
  <si>
    <t>B Kilula|2026-07-01</t>
  </si>
  <si>
    <t>B Kilula</t>
  </si>
  <si>
    <t>398450</t>
  </si>
  <si>
    <t>Apple Europe Ltd</t>
  </si>
  <si>
    <t>Worked: 1 record(s) | Branch: Croydon | Role: Operative Porter | Jobs: 398450 | Customers: Apple Europe Ltd | Hours: 10.0</t>
  </si>
  <si>
    <t>B Kilula|2026-07-02</t>
  </si>
  <si>
    <t>B Kilula|2026-07-03</t>
  </si>
  <si>
    <t>B Kilula|2026-07-06</t>
  </si>
  <si>
    <t>B Kilula|2026-07-07</t>
  </si>
  <si>
    <t>B Kilula|2026-07-08</t>
  </si>
  <si>
    <t>B Kilula|2026-07-09</t>
  </si>
  <si>
    <t>B Kilula|2026-07-10</t>
  </si>
  <si>
    <t>B Kilula|2026-07-13</t>
  </si>
  <si>
    <t>B Kilula|2026-07-14</t>
  </si>
  <si>
    <t>B Kilula|2026-07-15</t>
  </si>
  <si>
    <t>B Martin (B) EV|2026-07-01</t>
  </si>
  <si>
    <t>B Martin (B) EV</t>
  </si>
  <si>
    <t>400315</t>
  </si>
  <si>
    <t>Accenture UK Ltd</t>
  </si>
  <si>
    <t>Worked: 1 record(s) | Branch: Thurrock | Role: Operative Driver | Jobs: 400315 | Customers: Accenture UK Ltd | Hours: 6.5</t>
  </si>
  <si>
    <t>B Martin (B) EV|2026-07-02</t>
  </si>
  <si>
    <t>403096</t>
  </si>
  <si>
    <t>London Borough of Lambeth</t>
  </si>
  <si>
    <t>Worked: 1 record(s) | Branch: Thurrock | Role: Operative Skilled | Jobs: 403096 | Customers: London Borough of Lambeth | Hours: 7.0</t>
  </si>
  <si>
    <t>B Martin (B) EV|2026-07-03</t>
  </si>
  <si>
    <t>403065</t>
  </si>
  <si>
    <t>Tetteh/Miss Freda</t>
  </si>
  <si>
    <t>Worked: 1 record(s) | Branch: Thurrock | Role: Operative Skilled | Jobs: 403065 | Customers: Tetteh/Miss Freda | Hours: 7.0</t>
  </si>
  <si>
    <t>B Martin (B) EV|2026-07-06</t>
  </si>
  <si>
    <t>402908</t>
  </si>
  <si>
    <t>UBS Investment Bank</t>
  </si>
  <si>
    <t>Worked: 1 record(s) | Branch: Thurrock | Role: Operative Skilled | Jobs: 402908 | Customers: UBS Investment Bank | Hours: 8.5</t>
  </si>
  <si>
    <t>B Martin (B) EV|2026-07-07</t>
  </si>
  <si>
    <t>B Martin (B) EV|2026-07-09</t>
  </si>
  <si>
    <t>Worked: 1 record(s) | Branch: Thurrock | Role: Operative Skilled | Jobs: 402908 | Customers: UBS Investment Bank | Hours: 8.0</t>
  </si>
  <si>
    <t>B Martin (B) EV|2026-07-10</t>
  </si>
  <si>
    <t>402467</t>
  </si>
  <si>
    <t>Lumor/Mawuena</t>
  </si>
  <si>
    <t>Worked: 1 record(s) | Branch: Thurrock | Role: Operative Skilled | Jobs: 402467 | Customers: Lumor/Mawuena | Hours: 8.0</t>
  </si>
  <si>
    <t>B Martin (B) EV|2026-07-13</t>
  </si>
  <si>
    <t>Worked: 1 record(s) | Branch: Thurrock | Role: Operative Skilled | Jobs: 398446 | Customers: Royal Entomological society | Hours: 8.5</t>
  </si>
  <si>
    <t>B Martin (B) EV|2026-07-14</t>
  </si>
  <si>
    <t>Worked: 1 record(s) | Branch: Thurrock | Role: Operative Skilled | Jobs: 398446 | Customers: Royal Entomological society | Hours: 11.0</t>
  </si>
  <si>
    <t>B Martin (B) EV|2026-07-15</t>
  </si>
  <si>
    <t>Worked: 1 record(s) | Branch: Thurrock | Role: Operative Skilled | Jobs: 398446 | Customers: Royal Entomological society | Hours: 8.0</t>
  </si>
  <si>
    <t>B Williams|2026-07-01</t>
  </si>
  <si>
    <t>B Williams</t>
  </si>
  <si>
    <t>B Williams|2026-07-06</t>
  </si>
  <si>
    <t>B Williams|2026-07-07</t>
  </si>
  <si>
    <t>Ben Cumbers|2026-07-01</t>
  </si>
  <si>
    <t>Ben Cumbers</t>
  </si>
  <si>
    <t>401226, 402652, 402831</t>
  </si>
  <si>
    <t>HM Prison and Probation Service; MOJ - Sodexo SR:60551; University of Leeds</t>
  </si>
  <si>
    <t>Worked: 3 record(s) | Branch: Leeds | Role: Operative Driver | Jobs: 401226, 402652, 402831 | Customers: HM Prison and Probation Service; MOJ - Sodexo SR:60551; University of Leeds | Hours: 8.8</t>
  </si>
  <si>
    <t>Ben Cumbers|2026-07-06</t>
  </si>
  <si>
    <t>Worked: 3 record(s) | Branch: Leeds | Role: Operative Driver | Jobs: 402323, 402591A, 403082 | Customers: HM Prison and Probation Service; Kirklees Council  - Sarah Copeland; MOJ - Sodexo SR:60799 | Hours: 9.2</t>
  </si>
  <si>
    <t>Ben Cumbers|2026-07-07</t>
  </si>
  <si>
    <t>402478</t>
  </si>
  <si>
    <t>West Yorkshire Police (Huddersfield)</t>
  </si>
  <si>
    <t>Worked: 1 record(s) | Branch: Leeds | Role: Operative Driver | Jobs: 402478 | Customers: West Yorkshire Police (Huddersfield) | Hours: 10.0</t>
  </si>
  <si>
    <t>Ben Cumbers|2026-07-08</t>
  </si>
  <si>
    <t>Worked: 1 record(s) | Branch: Manchester | Role: Operative Porter | Jobs: 397251 | Customers: Lancaster University (Leadership Centre) | Hours: 8.5</t>
  </si>
  <si>
    <t>Ben Cumbers|2026-07-10</t>
  </si>
  <si>
    <t>402822</t>
  </si>
  <si>
    <t>EMCOR - OCS FM Ltd</t>
  </si>
  <si>
    <t>Worked: 1 record(s) | Branch: Leeds | Role: Operative Driver | Jobs: 402822 | Customers: EMCOR - OCS FM Ltd | Hours: 5.0</t>
  </si>
  <si>
    <t>Ben Cumbers|2026-07-11</t>
  </si>
  <si>
    <t>Worked: 1 record(s) | Branch: Leeds | Role: Operative Driver | Jobs: 402822 | Customers: EMCOR - OCS FM Ltd | Hours: 7.0</t>
  </si>
  <si>
    <t>Ben Cumbers|2026-07-13</t>
  </si>
  <si>
    <t>402533, 402858, 403029</t>
  </si>
  <si>
    <t>Kirklees Council - Domestic; Kirklees Council - Joanne Sullivan; Kirklees Council - Simon Wrigglesworth</t>
  </si>
  <si>
    <t>Worked: 3 record(s) | Branch: Leeds | Role: Operative Driver | Jobs: 402533, 402858, 403029 | Customers: Kirklees Council - Domestic; Kirklees Council - Joanne Sullivan; Kirklees Council - Simon Wrigglesworth | Hours: 6.8</t>
  </si>
  <si>
    <t>Ben Cumbers|2026-07-14</t>
  </si>
  <si>
    <t>398888</t>
  </si>
  <si>
    <t>Yu/Dr Shi</t>
  </si>
  <si>
    <t>Worked: 1 record(s) | Branch: Thurrock | Role: Operative Driver | Jobs: 398888 | Customers: Yu/Dr Shi | Hours: 2.8</t>
  </si>
  <si>
    <t>Ben Cumbers|2026-07-15</t>
  </si>
  <si>
    <t>C Barbu (B) ES1|2026-07-02</t>
  </si>
  <si>
    <t>C Barbu (B) ES1</t>
  </si>
  <si>
    <t>402709</t>
  </si>
  <si>
    <t>Global Outdoor Media Limited</t>
  </si>
  <si>
    <t>Worked: 1 record(s) | Branch: Croydon | Role: Operative Driver | Jobs: 402709 | Customers: Global Outdoor Media Limited | Hours: 10.5</t>
  </si>
  <si>
    <t>C Barbu (B) ES1|2026-07-03</t>
  </si>
  <si>
    <t>Worked: 1 record(s) | Branch: Croydon | Role: Operative Driver | Jobs: 402709 | Customers: Global Outdoor Media Limited | Hours: 9.0</t>
  </si>
  <si>
    <t>C Barbu (B) ES1|2026-07-06</t>
  </si>
  <si>
    <t>396514A</t>
  </si>
  <si>
    <t>Surrey County Council</t>
  </si>
  <si>
    <t>Worked: 1 record(s) | Branch: Croydon | Role: Operative Driver | Jobs: 396514A | Customers: Surrey County Council | Hours: 6.5</t>
  </si>
  <si>
    <t>C Barbu (B) ES1|2026-07-07</t>
  </si>
  <si>
    <t>393869A</t>
  </si>
  <si>
    <t>Kings College London</t>
  </si>
  <si>
    <t>Worked: 1 record(s) | Branch: Croydon | Role: Operative Driver | Jobs: 393869A | Customers: Kings College London | Hours: 5.0</t>
  </si>
  <si>
    <t>C Barbu (B) ES1|2026-07-08</t>
  </si>
  <si>
    <t>402743</t>
  </si>
  <si>
    <t>EDF / DALKIA FACILITIES LIMITED</t>
  </si>
  <si>
    <t>Worked: 1 record(s) | Branch: Croydon | Role: Operative Driver | Jobs: 402743 | Customers: EDF / DALKIA FACILITIES LIMITED | Hours: 8.0</t>
  </si>
  <si>
    <t>C Barbu (B) ES1|2026-07-09</t>
  </si>
  <si>
    <t>Worked: 1 record(s) | Branch: Croydon | Role: Operative Driver | Jobs: 402743 | Customers: EDF / DALKIA FACILITIES LIMITED | Hours: 6.0</t>
  </si>
  <si>
    <t>C Barbu (B) ES1|2026-07-10</t>
  </si>
  <si>
    <t>399451Y, 403330</t>
  </si>
  <si>
    <t>Royal Borough of Kensington and Chelsea</t>
  </si>
  <si>
    <t>Worked: 2 record(s) | Branch: Croydon | Role: Operative Driver | Jobs: 399451Y, 403330 | Customers: Royal Borough of Kensington and Chelsea | Hours: 11.0</t>
  </si>
  <si>
    <t>C Barbu (B) ES1|2026-07-13</t>
  </si>
  <si>
    <t>403004C</t>
  </si>
  <si>
    <t>Avantor ( CROYDON  JULY  2026 )</t>
  </si>
  <si>
    <t>Worked: 1 record(s) | Branch: Cambridge | Role: Operative Driver | Jobs: 403004C | Customers: Avantor ( CROYDON  JULY  2026 ) | Hours: 5.0</t>
  </si>
  <si>
    <t>C Barbu (B) ES1|2026-07-14</t>
  </si>
  <si>
    <t>392752</t>
  </si>
  <si>
    <t>Bromley Central Library</t>
  </si>
  <si>
    <t>Worked: 1 record(s) | Branch: Croydon | Role: Operative Driver | Jobs: 392752 | Customers: Bromley Central Library | Hours: 6.5</t>
  </si>
  <si>
    <t>C Barbu (B) ES1|2026-07-15</t>
  </si>
  <si>
    <t>Worked: 1 record(s) | Branch: Croydon | Role: Operative Driver | Jobs: 392752 | Customers: Bromley Central Library | Hours: 5.0</t>
  </si>
  <si>
    <t>C Smith (C)|2026-07-01</t>
  </si>
  <si>
    <t>C Smith (C)</t>
  </si>
  <si>
    <t>403036</t>
  </si>
  <si>
    <t>Russell Reynolds Assoc</t>
  </si>
  <si>
    <t>Worked: 1 record(s) | Branch: Thurrock | Role: Operative Driver | Jobs: 403036 | Customers: Russell Reynolds Assoc | Hours: 8.5</t>
  </si>
  <si>
    <t>C Smith (C)|2026-07-02</t>
  </si>
  <si>
    <t>403131</t>
  </si>
  <si>
    <t>Protech Network Solutions</t>
  </si>
  <si>
    <t>Worked: 1 record(s) | Branch: Thurrock | Role: Operative Driver | Jobs: 403131 | Customers: Protech Network Solutions | Hours: 12.5</t>
  </si>
  <si>
    <t>C Smith (C)|2026-07-03</t>
  </si>
  <si>
    <t>Worked: 1 record(s) | Branch: Thurrock | Role: Operative Driver | Jobs: 403065 | Customers: Tetteh/Miss Freda | Hours: 7.0</t>
  </si>
  <si>
    <t>C Smith (C)|2026-07-06</t>
  </si>
  <si>
    <t>Worked: 1 record(s) | Branch: Thurrock | Role: Operative Driver | Jobs: 403083 | Customers: Kaur/Ms Tina | Hours: 8.5</t>
  </si>
  <si>
    <t>C Smith (C)|2026-07-07</t>
  </si>
  <si>
    <t>403225</t>
  </si>
  <si>
    <t>Worked: 1 record(s) | Branch: Thurrock | Role: Operative Driver | Jobs: 403225 | Customers: University of Hertfordshire | Hours: 8.0</t>
  </si>
  <si>
    <t>C Smith (C)|2026-07-08</t>
  </si>
  <si>
    <t>403145, 403247</t>
  </si>
  <si>
    <t>City of London Police; JP Morgan Limited</t>
  </si>
  <si>
    <t>Worked: 2 record(s) | Branch: Thurrock | Role: Operative Driver | Jobs: 403145, 403247 | Customers: City of London Police; JP Morgan Limited | Hours: 6.0</t>
  </si>
  <si>
    <t>C Smith (C)|2026-07-10</t>
  </si>
  <si>
    <t>Worked: 1 record(s) | Branch: Thurrock | Role: Operative Driver | Jobs: 402467 | Customers: Lumor/Mawuena | Hours: 8.0</t>
  </si>
  <si>
    <t>C Smith (C)|2026-07-13</t>
  </si>
  <si>
    <t>403280</t>
  </si>
  <si>
    <t>Reynolds Colman Bradley LLP</t>
  </si>
  <si>
    <t>Worked: 1 record(s) | Branch: Thurrock | Role: Operative Driver | Jobs: 403280 | Customers: Reynolds Colman Bradley LLP | Hours: 4.5</t>
  </si>
  <si>
    <t>Callum Rayner|2026-07-02</t>
  </si>
  <si>
    <t>Callum Rayner</t>
  </si>
  <si>
    <t>Worked: 1 record(s) | Branch: Cambridge | Role: Operative Driver | Jobs: 403073 | Customers: Anglia Ruskin University | Hours: 8.5</t>
  </si>
  <si>
    <t>Callum Rayner|2026-07-03</t>
  </si>
  <si>
    <t>Callum Rayner|2026-07-06</t>
  </si>
  <si>
    <t>402797</t>
  </si>
  <si>
    <t>KI-Hydrogen (Scale Space)</t>
  </si>
  <si>
    <t>Worked: 1 record(s) | Branch: Croydon | Role: Operative Porter | Jobs: 402797 | Customers: KI-Hydrogen (Scale Space) | Hours: 12.0</t>
  </si>
  <si>
    <t>Callum Rayner|2026-07-07</t>
  </si>
  <si>
    <t>Cambridge, Oxford</t>
  </si>
  <si>
    <t>389934, 403316</t>
  </si>
  <si>
    <t>Harrow Green Cambridge M/W use only; Lubricants UK Ltd</t>
  </si>
  <si>
    <t>Worked: 2 record(s) | Branch: Cambridge, Oxford | Role: Operative Porter | Jobs: 389934, 403316 | Customers: Harrow Green Cambridge M/W use only; Lubricants UK Ltd | Hours: 18.0</t>
  </si>
  <si>
    <t>Carl Stell|2026-07-01</t>
  </si>
  <si>
    <t>Carl Stell</t>
  </si>
  <si>
    <t>401736</t>
  </si>
  <si>
    <t>University of Leeds (Brotherton Library)</t>
  </si>
  <si>
    <t>Worked: 1 record(s) | Branch: Leeds | Role: Operative Skilled | Jobs: 401736 | Customers: University of Leeds (Brotherton Library) | Hours: 7.0</t>
  </si>
  <si>
    <t>Carl Stell|2026-07-02</t>
  </si>
  <si>
    <t>403004A</t>
  </si>
  <si>
    <t>Avantor ( LEEDS JULY  2026 )</t>
  </si>
  <si>
    <t>Worked: 1 record(s) | Branch: Cambridge | Role: Operative Porter | Jobs: 403004A | Customers: Avantor ( LEEDS JULY  2026 ) | Hours: 9.0</t>
  </si>
  <si>
    <t>Carl Stell|2026-07-03</t>
  </si>
  <si>
    <t>402325, 402430, 402713</t>
  </si>
  <si>
    <t>Kirklees Council  - Nicole Cadwell; Kirklees Council - Pooja Thakor; Kirklees Council-Katina Farnsworth</t>
  </si>
  <si>
    <t>Worked: 3 record(s) | Branch: Leeds | Role: Operative Porter | Jobs: 402325, 402430, 402713 | Customers: Kirklees Council  - Nicole Cadwell; Kirklees Council - Pooja Thakor; Kirklees Council-Katina Farnsworth | Hours: 5.5</t>
  </si>
  <si>
    <t>Carl Stell|2026-07-06</t>
  </si>
  <si>
    <t>Worked: 1 record(s) | Branch: Leeds | Role: Operative Porter | Jobs: 401736 | Customers: University of Leeds (Brotherton Library) | Hours: 6.5</t>
  </si>
  <si>
    <t>Carl Stell|2026-07-07</t>
  </si>
  <si>
    <t>Worked: 1 record(s) | Branch: Leeds | Role: Operative Porter | Jobs: 401736 | Customers: University of Leeds (Brotherton Library) | Hours: 6.0</t>
  </si>
  <si>
    <t>Carl Stell|2026-07-08</t>
  </si>
  <si>
    <t>401476, 402771</t>
  </si>
  <si>
    <t>Kirklees Council - Mr Harrington; Summer Schools - Kirklees</t>
  </si>
  <si>
    <t>Worked: 2 record(s) | Branch: Leeds | Role: Operative Porter | Jobs: 401476, 402771 | Customers: Kirklees Council - Mr Harrington; Summer Schools - Kirklees | Hours: 10.5</t>
  </si>
  <si>
    <t>Carl Stell|2026-07-09</t>
  </si>
  <si>
    <t>403206</t>
  </si>
  <si>
    <t>Kirklees Counci - Keoahsa Duxbury</t>
  </si>
  <si>
    <t>Worked: 1 record(s) | Branch: Leeds | Role: Operative Porter | Jobs: 403206 | Customers: Kirklees Counci - Keoahsa Duxbury | Hours: 7.2</t>
  </si>
  <si>
    <t>Carl Stell|2026-07-10</t>
  </si>
  <si>
    <t>Worked: 1 record(s) | Branch: Leeds | Role: Operative Porter | Jobs: 402822 | Customers: EMCOR - OCS FM Ltd | Hours: 5.0</t>
  </si>
  <si>
    <t>Carl Stell|2026-07-11</t>
  </si>
  <si>
    <t>Worked: 1 record(s) | Branch: Leeds | Role: Operative Porter | Jobs: 402822 | Customers: EMCOR - OCS FM Ltd | Hours: 7.0</t>
  </si>
  <si>
    <t>Carl Stell|2026-07-12</t>
  </si>
  <si>
    <t>Worked: 1 record(s) | Branch: Leeds | Role: Operative Porter | Jobs: 402822 | Customers: EMCOR - OCS FM Ltd | Hours: 6.0</t>
  </si>
  <si>
    <t>Carl Stell|2026-07-13</t>
  </si>
  <si>
    <t>Worked: 3 record(s) | Branch: Leeds | Role: Operative Porter | Jobs: 402533, 402858, 403029 | Customers: Kirklees Council - Domestic; Kirklees Council - Joanne Sullivan; Kirklees Council - Simon Wrigglesworth | Hours: 6.8</t>
  </si>
  <si>
    <t>Carl Stell|2026-07-14</t>
  </si>
  <si>
    <t>Worked: 1 record(s) | Branch: Leeds | Role: Operative Porter | Jobs: 401736 | Customers: University of Leeds (Brotherton Library) | Hours: 5.0</t>
  </si>
  <si>
    <t>Carl Stell|2026-07-15</t>
  </si>
  <si>
    <t>Worked: 1 record(s) | Branch: Leeds | Role: Operative Porter | Jobs: 401736 | Customers: University of Leeds (Brotherton Library) | Hours: 8.0</t>
  </si>
  <si>
    <t>Charlie Cane|2026-07-01</t>
  </si>
  <si>
    <t>Charlie Cane</t>
  </si>
  <si>
    <t>402798</t>
  </si>
  <si>
    <t>Cambridge University Hospitals NHS Foundation</t>
  </si>
  <si>
    <t>Worked: 1 record(s) | Branch: Cambridge | Role: Operative Porter | Jobs: 402798 | Customers: Cambridge University Hospitals NHS Foundation | Hours: 7.5</t>
  </si>
  <si>
    <t>Charlie Cane|2026-07-02</t>
  </si>
  <si>
    <t>Charlie Cane|2026-07-03</t>
  </si>
  <si>
    <t>Charlie Cane|2026-07-06</t>
  </si>
  <si>
    <t>Charlie Cane|2026-07-07</t>
  </si>
  <si>
    <t>Charlie Cane|2026-07-10</t>
  </si>
  <si>
    <t>Christopher Kiely|2026-07-01</t>
  </si>
  <si>
    <t>Christopher Kiely</t>
  </si>
  <si>
    <t>Worked: 1 record(s) | Branch: Birmingham | Role: Operative Porter | Jobs: 403046 | Customers: HSBC - July 2026 Deliveries | Hours: 9.0</t>
  </si>
  <si>
    <t>Christopher Kiely|2026-07-02</t>
  </si>
  <si>
    <t>Worked: 1 record(s) | Branch: Birmingham | Role: Operative Skilled | Jobs: 403046 | Customers: HSBC - July 2026 Deliveries | Hours: 9.0</t>
  </si>
  <si>
    <t>Christopher Kiely|2026-07-03</t>
  </si>
  <si>
    <t>Birmingham, Cambridge</t>
  </si>
  <si>
    <t>Operative Porter, Operative Skilled</t>
  </si>
  <si>
    <t>401084, 403046, 403121</t>
  </si>
  <si>
    <t>BESCIENTIFIC (UNI NOTTS); HSBC - July 2026 Deliveries; Total System Services Processing Europe Ltd</t>
  </si>
  <si>
    <t>Worked: 3 record(s) | Branch: Birmingham, Cambridge | Role: Operative Porter, Operative Skilled | Jobs: 401084, 403046, 403121 | Customers: BESCIENTIFIC (UNI NOTTS); HSBC - July 2026 Deliveries; Total System Services Processing Europe Ltd | Hours: 9.0</t>
  </si>
  <si>
    <t>Christopher Kiely|2026-07-06</t>
  </si>
  <si>
    <t>401198</t>
  </si>
  <si>
    <t>The Open University</t>
  </si>
  <si>
    <t>Worked: 1 record(s) | Branch: Birmingham | Role: Operative Skilled | Jobs: 401198 | Customers: The Open University | Hours: 9.2</t>
  </si>
  <si>
    <t>Christopher Kiely|2026-07-07</t>
  </si>
  <si>
    <t>Worked: 1 record(s) | Branch: Birmingham | Role: Operative Skilled | Jobs: 401198 | Customers: The Open University | Hours: 9.5</t>
  </si>
  <si>
    <t>Christopher Kiely|2026-07-13</t>
  </si>
  <si>
    <t>Worked: 1 record(s) | Branch: Birmingham | Role: Operative Skilled | Jobs: 401198 | Customers: The Open University | Hours: 6.5</t>
  </si>
  <si>
    <t>Christopher Kiely|2026-07-14</t>
  </si>
  <si>
    <t>Worked: 1 record(s) | Branch: Birmingham | Role: Operative Skilled | Jobs: 401198 | Customers: The Open University | Hours: 7.0</t>
  </si>
  <si>
    <t>Christopher Kiely|2026-07-15</t>
  </si>
  <si>
    <t>Cl Gaspar|2026-07-01</t>
  </si>
  <si>
    <t>Cl Gaspar</t>
  </si>
  <si>
    <t>401494</t>
  </si>
  <si>
    <t>Susquehanna International Group (SIG)</t>
  </si>
  <si>
    <t>Worked: 1 record(s) | Branch: Thurrock | Role: Operative Porter | Jobs: 401494 | Customers: Susquehanna International Group (SIG) | Hours: 9.0</t>
  </si>
  <si>
    <t>Cl Gaspar|2026-07-02</t>
  </si>
  <si>
    <t>Worked: 1 record(s) | Branch: Thurrock | Role: Operative Porter | Jobs: 403131 | Customers: Protech Network Solutions | Hours: 12.5</t>
  </si>
  <si>
    <t>Cl Gaspar|2026-07-03</t>
  </si>
  <si>
    <t>400275</t>
  </si>
  <si>
    <t>Apple Europe Limited</t>
  </si>
  <si>
    <t>Worked: 1 record(s) | Branch: Thurrock | Role: Operative Skilled | Jobs: 400275 | Customers: Apple Europe Limited | Hours: 11.5</t>
  </si>
  <si>
    <t>Cl Gaspar|2026-07-04</t>
  </si>
  <si>
    <t>Worked: 1 record(s) | Branch: Thurrock | Role: Operative Porter | Jobs: 401175 | Customers: Hogan Lovells LLP | Hours: 17.5</t>
  </si>
  <si>
    <t>Cl Gaspar|2026-07-05</t>
  </si>
  <si>
    <t>Cl Gaspar|2026-07-06</t>
  </si>
  <si>
    <t>Worked: 1 record(s) | Branch: Thurrock | Role: Operative Porter | Jobs: 400275 | Customers: Apple Europe Limited | Hours: 11.5</t>
  </si>
  <si>
    <t>Cl Gaspar|2026-07-07</t>
  </si>
  <si>
    <t>Cl Gaspar|2026-07-08</t>
  </si>
  <si>
    <t>Cl Gaspar|2026-07-09</t>
  </si>
  <si>
    <t>403270</t>
  </si>
  <si>
    <t>Worked: 1 record(s) | Branch: Thurrock | Role: Operative Porter | Jobs: 403270 | Customers: Protech Network Solutions | Hours: 11.5</t>
  </si>
  <si>
    <t>Cl Gaspar|2026-07-10</t>
  </si>
  <si>
    <t>400288</t>
  </si>
  <si>
    <t>Worked: 1 record(s) | Branch: Thurrock | Role: Operative Porter | Jobs: 400288 | Customers: Apple Europe Limited | Hours: 11.5</t>
  </si>
  <si>
    <t>Cl Gaspar|2026-07-11</t>
  </si>
  <si>
    <t>403271</t>
  </si>
  <si>
    <t>Worked: 1 record(s) | Branch: Thurrock | Role: Operative Porter | Jobs: 403271 | Customers: Bnp Paribas Limited | Hours: 10.5</t>
  </si>
  <si>
    <t>Cl Gaspar|2026-07-12</t>
  </si>
  <si>
    <t>Worked: 1 record(s) | Branch: Thurrock | Role: Operative Porter | Jobs: 403271 | Customers: Bnp Paribas Limited | Hours: 5.5</t>
  </si>
  <si>
    <t>Cl Gaspar|2026-07-13</t>
  </si>
  <si>
    <t>400033</t>
  </si>
  <si>
    <t>Ministry of Defence</t>
  </si>
  <si>
    <t>Worked: 1 record(s) | Branch: Thurrock | Role: Operative Porter | Jobs: 400033 | Customers: Ministry of Defence | Hours: 15.0</t>
  </si>
  <si>
    <t>Cl Gaspar|2026-07-14</t>
  </si>
  <si>
    <t>Worked: 1 record(s) | Branch: Thurrock | Role: Operative Porter | Jobs: 400033 | Customers: Ministry of Defence | Hours: 16.5</t>
  </si>
  <si>
    <t>Cl Gaspar|2026-07-15</t>
  </si>
  <si>
    <t>Worked: 1 record(s) | Branch: Thurrock | Role: Operative Porter | Jobs: 400033 | Customers: Ministry of Defence | Hours: 9.5</t>
  </si>
  <si>
    <t>Clayman Waterman|2026-07-01</t>
  </si>
  <si>
    <t>Clayman Waterman</t>
  </si>
  <si>
    <t>402681, 403164</t>
  </si>
  <si>
    <t>Oguike/Mrs Olivia; Sewah/Fallah</t>
  </si>
  <si>
    <t>Worked: 2 record(s) | Branch: Thurrock | Role: Operative Skilled | Jobs: 402681, 403164 | Customers: Oguike/Mrs Olivia; Sewah/Fallah | Hours: 5.0</t>
  </si>
  <si>
    <t>D Headland|2026-07-01</t>
  </si>
  <si>
    <t>D Headland</t>
  </si>
  <si>
    <t>D Headland|2026-07-02</t>
  </si>
  <si>
    <t>D Headland|2026-07-03</t>
  </si>
  <si>
    <t>402765</t>
  </si>
  <si>
    <t>Worked: 1 record(s) | Branch: Thurrock | Role: Operative Skilled | Jobs: 402765 | Customers: Apple Europe Ltd | Hours: 11.5</t>
  </si>
  <si>
    <t>D Headland|2026-07-04</t>
  </si>
  <si>
    <t>Worked: 1 record(s) | Branch: Thurrock | Role: Operative Skilled | Jobs: 402765 | Customers: Apple Europe Ltd | Hours: 8.5</t>
  </si>
  <si>
    <t>D Headland|2026-07-07</t>
  </si>
  <si>
    <t>D Headland|2026-07-08</t>
  </si>
  <si>
    <t>D Headland|2026-07-09</t>
  </si>
  <si>
    <t>D Headland|2026-07-10</t>
  </si>
  <si>
    <t>D Headland|2026-07-13</t>
  </si>
  <si>
    <t>403324</t>
  </si>
  <si>
    <t>Worked: 1 record(s) | Branch: Thurrock | Role: Operative Skilled | Jobs: 403324 | Customers: Apple Europe Ltd | Hours: 11.5</t>
  </si>
  <si>
    <t>D Headland|2026-07-14</t>
  </si>
  <si>
    <t>D Headland|2026-07-15</t>
  </si>
  <si>
    <t>D Hodgson (B)|2026-07-01</t>
  </si>
  <si>
    <t>D Hodgson (B)</t>
  </si>
  <si>
    <t>Worked: 1 record(s) | Branch: Thurrock | Role: Operative Porter | Jobs: 400315 | Customers: Accenture UK Ltd | Hours: 6.5</t>
  </si>
  <si>
    <t>D Hodgson (B)|2026-07-02</t>
  </si>
  <si>
    <t>403143</t>
  </si>
  <si>
    <t>Societe Generale</t>
  </si>
  <si>
    <t>Worked: 1 record(s) | Branch: Thurrock | Role: Operative Skilled | Jobs: 403143 | Customers: Societe Generale | Hours: 8.0</t>
  </si>
  <si>
    <t>D Hodgson (B)|2026-07-03</t>
  </si>
  <si>
    <t>D Hodgson (B)|2026-07-06</t>
  </si>
  <si>
    <t>D Hodgson (B)|2026-07-07</t>
  </si>
  <si>
    <t>D Hodgson (B)|2026-07-08</t>
  </si>
  <si>
    <t>D Hodgson (B)|2026-07-09</t>
  </si>
  <si>
    <t>D Hodgson (B)|2026-07-10</t>
  </si>
  <si>
    <t>Worked: 1 record(s) | Branch: Thurrock | Role: Operative Porter | Jobs: 402467 | Customers: Lumor/Mawuena | Hours: 8.0</t>
  </si>
  <si>
    <t>D Hodgson (B)|2026-07-11</t>
  </si>
  <si>
    <t>403312</t>
  </si>
  <si>
    <t>Worked: 1 record(s) | Branch: Thurrock | Role: Operative Skilled | Jobs: 403312 | Customers: UBS Investment Bank | Hours: 6.5</t>
  </si>
  <si>
    <t>D Hodgson (B)|2026-07-13</t>
  </si>
  <si>
    <t>D Hodgson (B)|2026-07-14</t>
  </si>
  <si>
    <t>Worked: 2 record(s) | Branch: Thurrock | Role: Operative Porter, Operative Skilled | Jobs: 400033 | Customers: Ministry of Defence | Hours: 16.5</t>
  </si>
  <si>
    <t>D Hodgson (B)|2026-07-15</t>
  </si>
  <si>
    <t>D O'Brien|2026-07-01</t>
  </si>
  <si>
    <t>D O'Brien</t>
  </si>
  <si>
    <t>403145</t>
  </si>
  <si>
    <t>Worked: 1 record(s) | Branch: Thurrock | Role: Operative Skilled | Jobs: 403145 | Customers: JP Morgan Limited | Hours: 8.5</t>
  </si>
  <si>
    <t>D O'Brien|2026-07-02</t>
  </si>
  <si>
    <t>D O'Brien|2026-07-03</t>
  </si>
  <si>
    <t>D O'Brien|2026-07-06</t>
  </si>
  <si>
    <t>402982</t>
  </si>
  <si>
    <t>Smith/Ms Cerita</t>
  </si>
  <si>
    <t>Worked: 1 record(s) | Branch: Thurrock | Role: Operative Skilled | Jobs: 402982 | Customers: Smith/Ms Cerita | Hours: 9.0</t>
  </si>
  <si>
    <t>D O'Brien|2026-07-07</t>
  </si>
  <si>
    <t>403068</t>
  </si>
  <si>
    <t>LRE Capital</t>
  </si>
  <si>
    <t>Worked: 1 record(s) | Branch: Thurrock | Role: Operative Skilled | Jobs: 403068 | Customers: LRE Capital | Hours: 7.0</t>
  </si>
  <si>
    <t>D O'Brien|2026-07-08</t>
  </si>
  <si>
    <t>D O'Brien|2026-07-10</t>
  </si>
  <si>
    <t>403145, 403331</t>
  </si>
  <si>
    <t>Worked: 2 record(s) | Branch: Thurrock | Role: Operative Skilled | Jobs: 403145, 403331 | Customers: JP Morgan Limited | Hours: 15.0</t>
  </si>
  <si>
    <t>D O'Brien|2026-07-12</t>
  </si>
  <si>
    <t>403331</t>
  </si>
  <si>
    <t>Worked: 1 record(s) | Branch: Thurrock | Role: Operative Skilled | Jobs: 403331 | Customers: JP Morgan Limited | Hours: 8.5</t>
  </si>
  <si>
    <t>D O'Brien|2026-07-13</t>
  </si>
  <si>
    <t>Worked: 1 record(s) | Branch: Thurrock | Role: Operative Skilled | Jobs: 403331 | Customers: JP Morgan Limited | Hours: 10.5</t>
  </si>
  <si>
    <t>D O'Brien|2026-07-14</t>
  </si>
  <si>
    <t>D O'Brien|2026-07-15</t>
  </si>
  <si>
    <t>Worked: 1 record(s) | Branch: Thurrock | Role: Operative Porter | Jobs: 403145 | Customers: JP Morgan Limited | Hours: 8.5</t>
  </si>
  <si>
    <t>D Pekov (B)|2026-07-01</t>
  </si>
  <si>
    <t>D Pekov (B)</t>
  </si>
  <si>
    <t>393361E</t>
  </si>
  <si>
    <t>The Quadrant</t>
  </si>
  <si>
    <t>Worked: 1 record(s) | Branch: Croydon | Role: Operative Skilled | Jobs: 393361E | Customers: The Quadrant | Hours: 8.0</t>
  </si>
  <si>
    <t>D Pekov (B)|2026-07-02</t>
  </si>
  <si>
    <t>Worked: 1 record(s) | Branch: Croydon | Role: Operative Skilled | Jobs: 393361E | Customers: The Quadrant | Hours: 8.5</t>
  </si>
  <si>
    <t>D Pekov (B)|2026-07-03</t>
  </si>
  <si>
    <t>400111</t>
  </si>
  <si>
    <t>Worked: 1 record(s) | Branch: Croydon | Role: Operative Skilled | Jobs: 400111 | Customers: Bromley Central Library | Hours: 6.5</t>
  </si>
  <si>
    <t>D Pekov (B)|2026-07-04</t>
  </si>
  <si>
    <t>Worked: 1 record(s) | Branch: Croydon | Role: Operative Skilled | Jobs: 402709 | Customers: Global Outdoor Media Limited | Hours: 10.0</t>
  </si>
  <si>
    <t>D Pekov (B)|2026-07-05</t>
  </si>
  <si>
    <t>D Pekov (B)|2026-07-06</t>
  </si>
  <si>
    <t>Worked: 1 record(s) | Branch: Croydon | Role: Operative Skilled | Jobs: 393361E | Customers: The Quadrant | Hours: 5.0</t>
  </si>
  <si>
    <t>D Pekov (B)|2026-07-07</t>
  </si>
  <si>
    <t>D Pekov (B)|2026-07-08</t>
  </si>
  <si>
    <t>Worked: 1 record(s) | Branch: Croydon | Role: Operative Skilled | Jobs: 402743 | Customers: EDF / DALKIA FACILITIES LIMITED | Hours: 8.0</t>
  </si>
  <si>
    <t>D Pekov (B)|2026-07-09</t>
  </si>
  <si>
    <t>Worked: 1 record(s) | Branch: Croydon | Role: Operative Skilled | Jobs: 402743 | Customers: EDF / DALKIA FACILITIES LIMITED | Hours: 6.0</t>
  </si>
  <si>
    <t>D Pekov (B)|2026-07-10</t>
  </si>
  <si>
    <t>D Roberts|2026-07-01</t>
  </si>
  <si>
    <t>D Roberts</t>
  </si>
  <si>
    <t>402379</t>
  </si>
  <si>
    <t>Restore – Doc Management - NWL collections</t>
  </si>
  <si>
    <t>Worked: 1 record(s) | Branch: Thurrock | Role: Operative Porter | Jobs: 402379 | Customers: Restore – Doc Management - NWL collections | Hours: 9.0</t>
  </si>
  <si>
    <t>D Roberts|2026-07-02</t>
  </si>
  <si>
    <t>D Roberts|2026-07-03</t>
  </si>
  <si>
    <t>403070</t>
  </si>
  <si>
    <t>Edmonds/Mr Simon</t>
  </si>
  <si>
    <t>Worked: 1 record(s) | Branch: Thurrock | Role: Operative Skilled | Jobs: 403070 | Customers: Edmonds/Mr Simon | Hours: 6.5</t>
  </si>
  <si>
    <t>D Roberts|2026-07-06</t>
  </si>
  <si>
    <t>396800</t>
  </si>
  <si>
    <t>Lazri/Mrs Elsa</t>
  </si>
  <si>
    <t>Worked: 1 record(s) | Branch: Thurrock | Role: Operative Skilled | Jobs: 396800 | Customers: Lazri/Mrs Elsa | Hours: 8.0</t>
  </si>
  <si>
    <t>D Roberts|2026-07-08</t>
  </si>
  <si>
    <t>Worked: 1 record(s) | Branch: Thurrock | Role: Operative Skilled | Jobs: 398126 | Customers: Saunders/Tracey | Hours: 9.5</t>
  </si>
  <si>
    <t>D Roberts|2026-07-09</t>
  </si>
  <si>
    <t>403320, 403322</t>
  </si>
  <si>
    <t>Gbebikan/Natasha; Ivydale School/Elizabeth Teye/Rebecca McTier</t>
  </si>
  <si>
    <t>Worked: 2 record(s) | Branch: Thurrock | Role: Operative Skilled | Jobs: 403320, 403322 | Customers: Gbebikan/Natasha; Ivydale School/Elizabeth Teye/Rebecca McTier | Hours: 5.0</t>
  </si>
  <si>
    <t>D Roberts|2026-07-10</t>
  </si>
  <si>
    <t>D Roberts|2026-07-11</t>
  </si>
  <si>
    <t>D Roberts|2026-07-13</t>
  </si>
  <si>
    <t>Worked: 1 record(s) | Branch: Thurrock | Role: Operative Skilled | Jobs: 401992 | Customers: The Bible Society | Hours: 12.0</t>
  </si>
  <si>
    <t>D Roberts|2026-07-14</t>
  </si>
  <si>
    <t>400580</t>
  </si>
  <si>
    <t>ALPHATECH (UNI CAMBS)</t>
  </si>
  <si>
    <t>Worked: 1 record(s) | Branch: Cambridge | Role: Operative Porter | Jobs: 400580 | Customers: ALPHATECH (UNI CAMBS) | Hours: 8.0</t>
  </si>
  <si>
    <t>D Roberts|2026-07-15</t>
  </si>
  <si>
    <t>401992A</t>
  </si>
  <si>
    <t>Worked: 1 record(s) | Branch: Thurrock | Role: Operative Skilled | Jobs: 401992A | Customers: The Bible Society | Hours: 8.5</t>
  </si>
  <si>
    <t>D Wawrzewski|2026-07-01</t>
  </si>
  <si>
    <t>D Wawrzewski</t>
  </si>
  <si>
    <t>D Wawrzewski|2026-07-10</t>
  </si>
  <si>
    <t>Annual leave</t>
  </si>
  <si>
    <t>Leave: Annual Leave (Days)</t>
  </si>
  <si>
    <t>D Wawrzewski|2026-07-13</t>
  </si>
  <si>
    <t>D Wawrzewski|2026-07-14</t>
  </si>
  <si>
    <t>D Wawrzewski|2026-07-15</t>
  </si>
  <si>
    <t>Dam Robinson|2026-07-01</t>
  </si>
  <si>
    <t>Dam Robinson</t>
  </si>
  <si>
    <t>Worked: 1 record(s) | Branch: Thurrock | Role: Operative Porter | Jobs: 403036 | Customers: Russell Reynolds Assoc | Hours: 8.5</t>
  </si>
  <si>
    <t>Dam Robinson|2026-07-02</t>
  </si>
  <si>
    <t>Dam Robinson|2026-07-03</t>
  </si>
  <si>
    <t>Dam Robinson|2026-07-06</t>
  </si>
  <si>
    <t>Dam Robinson|2026-07-07</t>
  </si>
  <si>
    <t>Dam Robinson|2026-07-08</t>
  </si>
  <si>
    <t>Dam Robinson|2026-07-09</t>
  </si>
  <si>
    <t>Dam Robinson|2026-07-10</t>
  </si>
  <si>
    <t>Dam Robinson|2026-07-13</t>
  </si>
  <si>
    <t>Dam Robinson|2026-07-14</t>
  </si>
  <si>
    <t>Dam Robinson|2026-07-15</t>
  </si>
  <si>
    <t>Dan Jones|2026-07-03</t>
  </si>
  <si>
    <t>Dan Jones</t>
  </si>
  <si>
    <t>402287</t>
  </si>
  <si>
    <t>Worked: 1 record(s) | Branch: Thurrock | Role: Operative Driver | Jobs: 402287 | Customers: Accenture UK Ltd | Hours: 8.0</t>
  </si>
  <si>
    <t>Dan Jones|2026-07-04</t>
  </si>
  <si>
    <t>Dan Jones|2026-07-06</t>
  </si>
  <si>
    <t>401424</t>
  </si>
  <si>
    <t>University of Bristol</t>
  </si>
  <si>
    <t>Worked: 1 record(s) | Branch: Bristol | Role: Operative Driver | Jobs: 401424 | Customers: University of Bristol | Hours: 8.0</t>
  </si>
  <si>
    <t>Dan Jones|2026-07-09</t>
  </si>
  <si>
    <t>398973</t>
  </si>
  <si>
    <t>UWE - Northavon House</t>
  </si>
  <si>
    <t>Worked: 1 record(s) | Branch: Bristol | Role: Operative Driver | Jobs: 398973 | Customers: UWE - Northavon House | Hours: 9.5</t>
  </si>
  <si>
    <t>Dan Jones|2026-07-10</t>
  </si>
  <si>
    <t>403015</t>
  </si>
  <si>
    <t>Priorclave  (JULY  26)</t>
  </si>
  <si>
    <t>Worked: 1 record(s) | Branch: Cambridge | Role: Operative Driver | Jobs: 403015 | Customers: Priorclave  (JULY  26) | Hours: 9.5</t>
  </si>
  <si>
    <t>Dan Jones|2026-07-13</t>
  </si>
  <si>
    <t>402750</t>
  </si>
  <si>
    <t>Barbican/ Cardiff Uni</t>
  </si>
  <si>
    <t>Worked: 1 record(s) | Branch: Bristol | Role: Operative Driver | Jobs: 402750 | Customers: Barbican/ Cardiff Uni | Hours: 11.0</t>
  </si>
  <si>
    <t>Dan Jones|2026-07-14</t>
  </si>
  <si>
    <t>Worked: 1 record(s) | Branch: Bristol | Role: Operative Driver | Jobs: 402750 | Customers: Barbican/ Cardiff Uni | Hours: 9.5</t>
  </si>
  <si>
    <t>Danny Jones (B)|2026-07-01</t>
  </si>
  <si>
    <t>Danny Jones (B)</t>
  </si>
  <si>
    <t>Worked: 1 record(s) | Branch: Thurrock | Role: Operative Skilled | Jobs: 402575 | Customers: Latham &amp; Watkins | Hours: 8.5</t>
  </si>
  <si>
    <t>Danny Jones (B)|2026-07-02</t>
  </si>
  <si>
    <t>Danny Jones (B)|2026-07-03</t>
  </si>
  <si>
    <t>Danny Jones (B)|2026-07-04</t>
  </si>
  <si>
    <t>Worked: 1 record(s) | Branch: Thurrock | Role: Operative Skilled | Jobs: 401175 | Customers: Hogan Lovells LLP | Hours: 9.0</t>
  </si>
  <si>
    <t>Danny Jones (B)|2026-07-06</t>
  </si>
  <si>
    <t>Danny Jones (B)|2026-07-07</t>
  </si>
  <si>
    <t>Danny Jones (B)|2026-07-08</t>
  </si>
  <si>
    <t>Danny Jones (B)|2026-07-09</t>
  </si>
  <si>
    <t>Danny Jones (B)|2026-07-10</t>
  </si>
  <si>
    <t>Danny Jones (B)|2026-07-14</t>
  </si>
  <si>
    <t>Danny Jones (B)|2026-07-15</t>
  </si>
  <si>
    <t>David Woodyard|2026-07-01</t>
  </si>
  <si>
    <t>David Woodyard</t>
  </si>
  <si>
    <t>Worked: 1 record(s) | Branch: Manchester | Role: Operative Skilled | Jobs: 397251 | Customers: Lancaster University (Leadership Centre) | Hours: 7.0</t>
  </si>
  <si>
    <t>David Woodyard|2026-07-03</t>
  </si>
  <si>
    <t>David Woodyard|2026-07-06</t>
  </si>
  <si>
    <t>Worked: 3 record(s) | Branch: Manchester | Role: Operative Skilled | Jobs: 403056, 403169, 403196 | Customers: CTVC Ltd; University of Manchester | Hours: 8.2</t>
  </si>
  <si>
    <t>David Woodyard|2026-07-07</t>
  </si>
  <si>
    <t>402775</t>
  </si>
  <si>
    <t>Kirklees Council - Sibonisine Ncube</t>
  </si>
  <si>
    <t>Worked: 1 record(s) | Branch: Leeds | Role: Operative Skilled | Jobs: 402775 | Customers: Kirklees Council - Sibonisine Ncube | Hours: 7.5</t>
  </si>
  <si>
    <t>David Woodyard|2026-07-08</t>
  </si>
  <si>
    <t>Worked: 1 record(s) | Branch: Manchester | Role: Operative Skilled | Jobs: 397251 | Customers: Lancaster University (Leadership Centre) | Hours: 8.5</t>
  </si>
  <si>
    <t>David Woodyard|2026-07-09</t>
  </si>
  <si>
    <t>403371</t>
  </si>
  <si>
    <t>CTVC Ltd</t>
  </si>
  <si>
    <t>Worked: 1 record(s) | Branch: Manchester | Role: Operative Skilled | Jobs: 403371 | Customers: CTVC Ltd | Hours: 6.5</t>
  </si>
  <si>
    <t>David Woodyard|2026-07-10</t>
  </si>
  <si>
    <t>403000</t>
  </si>
  <si>
    <t>Lancashire Police</t>
  </si>
  <si>
    <t>Worked: 1 record(s) | Branch: Manchester | Role: Operative Skilled | Jobs: 403000 | Customers: Lancashire Police | Hours: 6.8</t>
  </si>
  <si>
    <t>David Woodyard|2026-07-13</t>
  </si>
  <si>
    <t>David Woodyard|2026-07-14</t>
  </si>
  <si>
    <t>403004D</t>
  </si>
  <si>
    <t>Avantor (MANCHESTER  JULY  2026 )</t>
  </si>
  <si>
    <t>Worked: 1 record(s) | Branch: Cambridge | Role: Operative Skilled | Jobs: 403004D | Customers: Avantor (MANCHESTER  JULY  2026 ) | Hours: 9.5</t>
  </si>
  <si>
    <t>David Woodyard|2026-07-15</t>
  </si>
  <si>
    <t>Dean Newton|2026-07-06</t>
  </si>
  <si>
    <t>Dean Newton</t>
  </si>
  <si>
    <t>392549</t>
  </si>
  <si>
    <t>NHS GG&amp;C</t>
  </si>
  <si>
    <t>Worked: 1 record(s) | Branch: Glasgow | Role: Operative Driver | Jobs: 392549 | Customers: NHS GG&amp;C | Hours: 7.5</t>
  </si>
  <si>
    <t>Dean Newton|2026-07-08</t>
  </si>
  <si>
    <t>Worked: 2 record(s) | Branch: Leeds | Role: Operative Driver | Jobs: 401476, 402771 | Customers: Kirklees Council - Mr Harrington; Summer Schools - Kirklees | Hours: 10.5</t>
  </si>
  <si>
    <t>Dean Newton|2026-07-09</t>
  </si>
  <si>
    <t>Worked: 1 record(s) | Branch: Leeds | Role: Operative Driver | Jobs: 403206 | Customers: Kirklees Counci - Keoahsa Duxbury | Hours: 7.2</t>
  </si>
  <si>
    <t>Dean Newton|2026-07-10</t>
  </si>
  <si>
    <t>402992</t>
  </si>
  <si>
    <t>Shawbrook Bank Ltd.</t>
  </si>
  <si>
    <t>Worked: 1 record(s) | Branch: Leeds | Role: Operative Driver | Jobs: 402992 | Customers: Shawbrook Bank Ltd. | Hours: 7.0</t>
  </si>
  <si>
    <t>Dean Newton|2026-07-13</t>
  </si>
  <si>
    <t>403200</t>
  </si>
  <si>
    <t>HM Prison and Probation Service</t>
  </si>
  <si>
    <t>Worked: 1 record(s) | Branch: Leeds | Role: Operative Driver | Jobs: 403200 | Customers: HM Prison and Probation Service | Hours: 8.0</t>
  </si>
  <si>
    <t>Dean Newton|2026-07-14</t>
  </si>
  <si>
    <t>Worked: 1 record(s) | Branch: Leeds | Role: Operative Driver | Jobs: 403126 | Customers: Kirklees Council - Samantha Sheard | Hours: 6.5</t>
  </si>
  <si>
    <t>Dean Newton|2026-07-15</t>
  </si>
  <si>
    <t>Worked: 1 record(s) | Branch: Leeds | Role: Operative Driver | Jobs: 398549 | Customers: Wakefield Council - Upton Primary School | Hours: 10.5</t>
  </si>
  <si>
    <t>Delano White|2026-07-01</t>
  </si>
  <si>
    <t>Delano White</t>
  </si>
  <si>
    <t>401968, 402888</t>
  </si>
  <si>
    <t>Sandwell and Birmingham Hospitals NHS Trust; The Open University - Gardiner Blocks</t>
  </si>
  <si>
    <t>Worked: 2 record(s) | Branch: Birmingham | Role: Operative Driver | Jobs: 401968, 402888 | Customers: Sandwell and Birmingham Hospitals NHS Trust; The Open University - Gardiner Blocks | Hours: 8.0</t>
  </si>
  <si>
    <t>Delano White|2026-07-02</t>
  </si>
  <si>
    <t>401354, 402939</t>
  </si>
  <si>
    <t>Juno Genetics Ltd; University Hospitals of Leicester NHS Trust</t>
  </si>
  <si>
    <t>Worked: 2 record(s) | Branch: Birmingham | Role: Operative Driver | Jobs: 401354, 402939 | Customers: Juno Genetics Ltd; University Hospitals of Leicester NHS Trust | Hours: 9.0</t>
  </si>
  <si>
    <t>Delano White|2026-07-03</t>
  </si>
  <si>
    <t>Worked: 1 record(s) | Branch: Birmingham | Role: Operative Driver | Jobs: 401084 | Customers: Total System Services Processing Europe Ltd | Hours: 9.0</t>
  </si>
  <si>
    <t>Delano White|2026-07-07</t>
  </si>
  <si>
    <t>401554</t>
  </si>
  <si>
    <t>CPM/Omnicom</t>
  </si>
  <si>
    <t>Worked: 1 record(s) | Branch: Oxford | Role: Operative Skilled | Jobs: 401554 | Customers: CPM/Omnicom | Hours: 9.0</t>
  </si>
  <si>
    <t>Delano White|2026-07-08</t>
  </si>
  <si>
    <t>401084, 401198</t>
  </si>
  <si>
    <t>The Open University; Total System Services Processing Europe Ltd</t>
  </si>
  <si>
    <t>Worked: 2 record(s) | Branch: Birmingham | Role: Operative Driver | Jobs: 401084, 401198 | Customers: The Open University; Total System Services Processing Europe Ltd | Hours: 11.0</t>
  </si>
  <si>
    <t>Delano White|2026-07-09</t>
  </si>
  <si>
    <t>Worked: 1 record(s) | Branch: Birmingham | Role: Operative Driver | Jobs: 401198 | Customers: The Open University | Hours: 10.8</t>
  </si>
  <si>
    <t>Delano White|2026-07-10</t>
  </si>
  <si>
    <t>Worked: 2 record(s) | Branch: Birmingham | Role: Operative Driver | Jobs: 401198 | Customers: The Open University | Hours: 11.5</t>
  </si>
  <si>
    <t>Delano White|2026-07-13</t>
  </si>
  <si>
    <t>Worked: 1 record(s) | Branch: Birmingham | Role: Operative Driver | Jobs: 401198 | Customers: The Open University | Hours: 6.5</t>
  </si>
  <si>
    <t>Delano White|2026-07-14</t>
  </si>
  <si>
    <t>Worked: 1 record(s) | Branch: Birmingham | Role: Operative Driver | Jobs: 401198 | Customers: The Open University | Hours: 8.5</t>
  </si>
  <si>
    <t>Delano White|2026-07-15</t>
  </si>
  <si>
    <t>E Rexhepi (B)|2026-07-01</t>
  </si>
  <si>
    <t>E Rexhepi (B)</t>
  </si>
  <si>
    <t>399451K</t>
  </si>
  <si>
    <t>Worked: 1 record(s) | Branch: Croydon | Role: Operative Porter | Jobs: 399451K | Customers: Royal Borough of Kensington and Chelsea | Hours: 9.0</t>
  </si>
  <si>
    <t>E Rexhepi (B)|2026-07-02</t>
  </si>
  <si>
    <t>Worked: 1 record(s) | Branch: Croydon | Role: Operative Porter | Jobs: 399451K | Customers: Royal Borough of Kensington and Chelsea | Hours: 6.5</t>
  </si>
  <si>
    <t>E Rexhepi (B)|2026-07-03</t>
  </si>
  <si>
    <t>Worked: 1 record(s) | Branch: Croydon | Role: Operative Porter | Jobs: 400111 | Customers: Bromley Central Library | Hours: 6.5</t>
  </si>
  <si>
    <t>E Rexhepi (B)|2026-07-04</t>
  </si>
  <si>
    <t>402937</t>
  </si>
  <si>
    <t>Hermes Investment Management Ltd</t>
  </si>
  <si>
    <t>Worked: 1 record(s) | Branch: Croydon | Role: Operative Driver | Jobs: 402937 | Customers: Hermes Investment Management Ltd | Hours: 7.5</t>
  </si>
  <si>
    <t>E Rexhepi (B)|2026-07-06</t>
  </si>
  <si>
    <t>399451U</t>
  </si>
  <si>
    <t>Worked: 1 record(s) | Branch: Croydon | Role: Operative Driver | Jobs: 399451U | Customers: Royal Borough of Kensington and Chelsea | Hours: 9.0</t>
  </si>
  <si>
    <t>E Rexhepi (B)|2026-07-07</t>
  </si>
  <si>
    <t>E Rexhepi (B)|2026-07-08</t>
  </si>
  <si>
    <t>Worked: 1 record(s) | Branch: Croydon | Role: Operative Porter | Jobs: 400111 | Customers: Bromley Central Library | Hours: 6.0</t>
  </si>
  <si>
    <t>E Rexhepi (B)|2026-07-09</t>
  </si>
  <si>
    <t>Worked: 1 record(s) | Branch: Croydon | Role: Operative Porter | Jobs: 400111 | Customers: Bromley Central Library | Hours: 8.0</t>
  </si>
  <si>
    <t>E Rexhepi (B)|2026-07-10</t>
  </si>
  <si>
    <t>E Rexhepi (B)|2026-07-13</t>
  </si>
  <si>
    <t>E Rexhepi (B)|2026-07-14</t>
  </si>
  <si>
    <t>Worked: 1 record(s) | Branch: Croydon | Role: Operative Porter | Jobs: 400111 | Customers: Bromley Central Library | Hours: 7.5</t>
  </si>
  <si>
    <t>E Rexhepi (B)|2026-07-15</t>
  </si>
  <si>
    <t>Ed Barnes|2026-07-01</t>
  </si>
  <si>
    <t>Ed Barnes</t>
  </si>
  <si>
    <t>397246</t>
  </si>
  <si>
    <t>Worked: 1 record(s) | Branch: Thurrock | Role: Operative Porter | Jobs: 397246 | Customers: Ministry of Defence | Hours: 8.5</t>
  </si>
  <si>
    <t>Ed Barnes|2026-07-02</t>
  </si>
  <si>
    <t>Ed Barnes|2026-07-06</t>
  </si>
  <si>
    <t>Ed Barnes|2026-07-07</t>
  </si>
  <si>
    <t>Ed Barnes|2026-07-08</t>
  </si>
  <si>
    <t>Ed Barnes|2026-07-09</t>
  </si>
  <si>
    <t>Ed Barnes|2026-07-10</t>
  </si>
  <si>
    <t>Worked: 1 record(s) | Branch: Thurrock | Role: Operative Porter | Jobs: 403271 | Customers: Bnp Paribas Limited | Hours: 9.0</t>
  </si>
  <si>
    <t>Ed Barnes|2026-07-13</t>
  </si>
  <si>
    <t>Ed Barnes|2026-07-14</t>
  </si>
  <si>
    <t>Ed Barnes|2026-07-15</t>
  </si>
  <si>
    <t>Emin Ahmed|2026-07-01</t>
  </si>
  <si>
    <t>Emin Ahmed</t>
  </si>
  <si>
    <t>402916, 403081</t>
  </si>
  <si>
    <t>Equans Services Limited; Midland Heart</t>
  </si>
  <si>
    <t>Worked: 2 record(s) | Branch: Birmingham | Role: Operative Driver | Jobs: 402916, 403081 | Customers: Equans Services Limited; Midland Heart | Hours: 11.0</t>
  </si>
  <si>
    <t>Emin Ahmed|2026-07-03</t>
  </si>
  <si>
    <t>Emin Ahmed|2026-07-07</t>
  </si>
  <si>
    <t>403133</t>
  </si>
  <si>
    <t>THE MULBERRY BUSH ORGANISATION LTD</t>
  </si>
  <si>
    <t>Worked: 1 record(s) | Branch: Birmingham | Role: Operative Driver | Jobs: 403133 | Customers: THE MULBERRY BUSH ORGANISATION LTD | Hours: 8.5</t>
  </si>
  <si>
    <t>Emin Ahmed|2026-07-08</t>
  </si>
  <si>
    <t>Worked: 1 record(s) | Branch: Birmingham | Role: Operative Driver | Jobs: 401198 | Customers: The Open University | Hours: 8.0</t>
  </si>
  <si>
    <t>Emin Ahmed|2026-07-09</t>
  </si>
  <si>
    <t>Emin Ahmed|2026-07-10</t>
  </si>
  <si>
    <t>Worked: 1 record(s) | Branch: Birmingham | Role: Operative Driver | Jobs: 401198 | Customers: The Open University | Hours: 11.5</t>
  </si>
  <si>
    <t>Emin Ahmed|2026-07-13</t>
  </si>
  <si>
    <t>Emin Ahmed|2026-07-14</t>
  </si>
  <si>
    <t>Emin Ahmed|2026-07-15</t>
  </si>
  <si>
    <t>G Disbrey|2026-07-01</t>
  </si>
  <si>
    <t>G Disbrey</t>
  </si>
  <si>
    <t>G Disbrey|2026-07-02</t>
  </si>
  <si>
    <t>Worked: 1 record(s) | Branch: Thurrock | Role: Operative Skilled | Jobs: 401175 | Customers: Hogan Lovells LLP | Hours: 5.5</t>
  </si>
  <si>
    <t>G Disbrey|2026-07-03</t>
  </si>
  <si>
    <t>Worked: 1 record(s) | Branch: Thurrock | Role: Operative Skilled | Jobs: 401175 | Customers: Hogan Lovells LLP | Hours: 8.5</t>
  </si>
  <si>
    <t>G Disbrey|2026-07-06</t>
  </si>
  <si>
    <t>Worked: 1 record(s) | Branch: Thurrock | Role: Operative Skilled | Jobs: 401175 | Customers: Hogan Lovells LLP | Hours: 11.5</t>
  </si>
  <si>
    <t>G Disbrey|2026-07-07</t>
  </si>
  <si>
    <t>Worked: 1 record(s) | Branch: Thurrock | Role: Operative Skilled | Jobs: 401175 | Customers: Hogan Lovells LLP | Hours: 10.0</t>
  </si>
  <si>
    <t>G Disbrey|2026-07-08</t>
  </si>
  <si>
    <t>Worked: 1 record(s) | Branch: Thurrock | Role: Operative Porter | Jobs: 401175 | Customers: Hogan Lovells LLP | Hours: 10.0</t>
  </si>
  <si>
    <t>G Disbrey|2026-07-09</t>
  </si>
  <si>
    <t>Worked: 1 record(s) | Branch: Thurrock | Role: Operative Skilled | Jobs: 402929 | Customers: Cadwalader Wickersham &amp; Taft LLP | Hours: 10.5</t>
  </si>
  <si>
    <t>G Disbrey|2026-07-10</t>
  </si>
  <si>
    <t>Worked: 1 record(s) | Branch: Thurrock | Role: Operative Skilled | Jobs: 402575 | Customers: Latham &amp; Watkins | Hours: 10.0</t>
  </si>
  <si>
    <t>G Disbrey|2026-07-13</t>
  </si>
  <si>
    <t>Worked: 1 record(s) | Branch: Thurrock | Role: Operative Skilled | Jobs: 400033 | Customers: Ministry of Defence | Hours: 5.5</t>
  </si>
  <si>
    <t>G Disbrey|2026-07-14</t>
  </si>
  <si>
    <t>Worked: 1 record(s) | Branch: Thurrock | Role: Operative Skilled | Jobs: 400033 | Customers: Ministry of Defence | Hours: 7.0</t>
  </si>
  <si>
    <t>G Disbrey|2026-07-15</t>
  </si>
  <si>
    <t>G Sawell (C1)|2026-07-01</t>
  </si>
  <si>
    <t>G Sawell (C1)</t>
  </si>
  <si>
    <t>402809</t>
  </si>
  <si>
    <t>Dyerecylce (ICL South Kensington)</t>
  </si>
  <si>
    <t>Worked: 1 record(s) | Branch: Croydon | Role: Operative Driver | Jobs: 402809 | Customers: Dyerecylce (ICL South Kensington) | Hours: 8.0</t>
  </si>
  <si>
    <t>G Sawell (C1)|2026-07-02</t>
  </si>
  <si>
    <t>G Sawell (C1)|2026-07-03</t>
  </si>
  <si>
    <t>G Sawell (C1)|2026-07-06</t>
  </si>
  <si>
    <t>G Sawell (C1)|2026-07-07</t>
  </si>
  <si>
    <t>Worked: 1 record(s) | Branch: Croydon | Role: Operative Driver | Jobs: 399451U | Customers: Royal Borough of Kensington and Chelsea | Hours: 7.5</t>
  </si>
  <si>
    <t>G Sawell (C1)|2026-07-08</t>
  </si>
  <si>
    <t>Worked: 1 record(s) | Branch: Croydon | Role: Operative Driver | Jobs: 400111 | Customers: Bromley Central Library | Hours: 6.0</t>
  </si>
  <si>
    <t>G Sawell (C1)|2026-07-09</t>
  </si>
  <si>
    <t>Worked: 1 record(s) | Branch: Croydon | Role: Operative Driver | Jobs: 400111 | Customers: Bromley Central Library | Hours: 8.0</t>
  </si>
  <si>
    <t>G Sawell (C1)|2026-07-10</t>
  </si>
  <si>
    <t>G Sawell (C1)|2026-07-13</t>
  </si>
  <si>
    <t>Worked: 1 record(s) | Branch: Croydon | Role: Operative Porter | Jobs: 393361E | Customers: The Quadrant | Hours: 5.0</t>
  </si>
  <si>
    <t>G Sawell (C1)|2026-07-14</t>
  </si>
  <si>
    <t>Worked: 1 record(s) | Branch: Cambridge | Role: Operative Driver | Jobs: 403004C | Customers: Avantor ( CROYDON  JULY  2026 ) | Hours: 4.5</t>
  </si>
  <si>
    <t>G Sawell (C1)|2026-07-15</t>
  </si>
  <si>
    <t>Worked: 1 record(s) | Branch: Cambridge | Role: Operative Driver | Jobs: 403004C | Customers: Avantor ( CROYDON  JULY  2026 ) | Hours: 4.0</t>
  </si>
  <si>
    <t>G Talpos (C1)|2026-07-02</t>
  </si>
  <si>
    <t>G Talpos (C1)</t>
  </si>
  <si>
    <t>403151</t>
  </si>
  <si>
    <t>Network Rail</t>
  </si>
  <si>
    <t>Worked: 1 record(s) | Branch: Thurrock | Role: Operative Driver | Jobs: 403151 | Customers: Network Rail | Hours: 3.5</t>
  </si>
  <si>
    <t>G Talpos (C1)|2026-07-10</t>
  </si>
  <si>
    <t>403267</t>
  </si>
  <si>
    <t>Cognizant</t>
  </si>
  <si>
    <t>Worked: 1 record(s) | Branch: Thurrock | Role: Operative Driver | Jobs: 403267 | Customers: Cognizant | Hours: 6.0</t>
  </si>
  <si>
    <t>G Talpos (C1)|2026-07-15</t>
  </si>
  <si>
    <t>Worked: 1 record(s) | Branch: Thurrock | Role: Operative Driver | Jobs: 403145 | Customers: JP Morgan Limited | Hours: 4.0</t>
  </si>
  <si>
    <t>Garry Dobson|2026-07-01</t>
  </si>
  <si>
    <t>Garry Dobson</t>
  </si>
  <si>
    <t>Warehouse</t>
  </si>
  <si>
    <t>Worked: 1 record(s) | Branch: Birmingham | Role: Warehouse | Jobs: 401369 | Customers: Canal &amp; River Trust | Hours: 2.0</t>
  </si>
  <si>
    <t>Gary Atkins|2026-07-01</t>
  </si>
  <si>
    <t>Gary Atkins</t>
  </si>
  <si>
    <t>390743G</t>
  </si>
  <si>
    <t>West Midlands Police - Facilities</t>
  </si>
  <si>
    <t>Worked: 1 record(s) | Branch: Birmingham | Role: Operative Driver | Jobs: 390743G | Customers: West Midlands Police - Facilities | Hours: 9.0</t>
  </si>
  <si>
    <t>Gary Atkins|2026-07-02</t>
  </si>
  <si>
    <t>403214</t>
  </si>
  <si>
    <t>West Midlands Police</t>
  </si>
  <si>
    <t>Worked: 1 record(s) | Branch: Birmingham | Role: Operative Driver | Jobs: 403214 | Customers: West Midlands Police | Hours: 9.0</t>
  </si>
  <si>
    <t>Gary Atkins|2026-07-03</t>
  </si>
  <si>
    <t>Worked: 1 record(s) | Branch: Birmingham | Role: Operative Skilled | Jobs: 403133 | Customers: THE MULBERRY BUSH ORGANISATION LTD | Hours: 9.0</t>
  </si>
  <si>
    <t>Gary Atkins|2026-07-06</t>
  </si>
  <si>
    <t>Worked: 1 record(s) | Branch: Birmingham | Role: Operative Driver | Jobs: 390743G | Customers: West Midlands Police - Facilities | Hours: 9.2</t>
  </si>
  <si>
    <t>Gary Atkins|2026-07-07</t>
  </si>
  <si>
    <t>Gene Ellson|2026-07-01</t>
  </si>
  <si>
    <t>Gene Ellson</t>
  </si>
  <si>
    <t>402403</t>
  </si>
  <si>
    <t>Worcester Health &amp; Care NHS Trust</t>
  </si>
  <si>
    <t>Worked: 1 record(s) | Branch: Birmingham | Role: Operative Skilled | Jobs: 402403 | Customers: Worcester Health &amp; Care NHS Trust | Hours: 8.0</t>
  </si>
  <si>
    <t>Gene Ellson|2026-07-02</t>
  </si>
  <si>
    <t>402697</t>
  </si>
  <si>
    <t>Jaguar Land Rover Limited</t>
  </si>
  <si>
    <t>Worked: 1 record(s) | Branch: Birmingham | Role: Operative Driver | Jobs: 402697 | Customers: Jaguar Land Rover Limited | Hours: 8.0</t>
  </si>
  <si>
    <t>Gene Ellson|2026-07-03</t>
  </si>
  <si>
    <t>Worked: 1 record(s) | Branch: Birmingham | Role: Operative Driver | Jobs: 403046 | Customers: HSBC - July 2026 Deliveries | Hours: 8.5</t>
  </si>
  <si>
    <t>Gene Ellson|2026-07-06</t>
  </si>
  <si>
    <t>402727</t>
  </si>
  <si>
    <t>Worked: 1 record(s) | Branch: Birmingham | Role: Operative Skilled | Jobs: 402727 | Customers: Midland Heart Limited | Hours: 8.2</t>
  </si>
  <si>
    <t>Gene Ellson|2026-07-07</t>
  </si>
  <si>
    <t>Worked: 1 record(s) | Branch: Birmingham | Role: Operative Driver | Jobs: 402697 | Customers: Jaguar Land Rover Limited | Hours: 8.2</t>
  </si>
  <si>
    <t>Gene Ellson|2026-07-08</t>
  </si>
  <si>
    <t>394774A, 402711, 403110, 403335</t>
  </si>
  <si>
    <t>Artifex interior systems; City of Birmingham School; Midland Heart; University of Birmingham</t>
  </si>
  <si>
    <t>Worked — 4 records</t>
  </si>
  <si>
    <t>Worked: 4 record(s) | Branch: Birmingham | Role: Operative Driver | Jobs: 394774A, 402711, 403110, 403335 | Customers: Artifex interior systems; City of Birmingham School; Midland Heart; University of Birmingham | Hours: 6.5</t>
  </si>
  <si>
    <t>Gene Ellson|2026-07-09</t>
  </si>
  <si>
    <t>Worked: 1 record(s) | Branch: Birmingham | Role: Operative Driver | Jobs: 402697 | Customers: Jaguar Land Rover Limited | Hours: 7.5</t>
  </si>
  <si>
    <t>Gene Ellson|2026-07-10</t>
  </si>
  <si>
    <t>397936, 403325</t>
  </si>
  <si>
    <t>Furniture Sales; Midland Heart</t>
  </si>
  <si>
    <t>Worked: 2 record(s) | Branch: Birmingham | Role: Operative Driver | Jobs: 397936, 403325 | Customers: Furniture Sales; Midland Heart | Hours: 4.5</t>
  </si>
  <si>
    <t>Gene Ellson|2026-07-13</t>
  </si>
  <si>
    <t>402994</t>
  </si>
  <si>
    <t>Worked: 1 record(s) | Branch: Birmingham | Role: Operative Driver | Jobs: 402994 | Customers: Canal &amp; River Trust | Hours: 6.8</t>
  </si>
  <si>
    <t>Gene Ellson|2026-07-14</t>
  </si>
  <si>
    <t>Gene Ellson|2026-07-15</t>
  </si>
  <si>
    <t>Operative Driver, Operative Porter</t>
  </si>
  <si>
    <t>401198, 403354</t>
  </si>
  <si>
    <t>Midland Heart; The Open University</t>
  </si>
  <si>
    <t>Worked: 2 record(s) | Branch: Birmingham | Role: Operative Driver, Operative Porter | Jobs: 401198, 403354 | Customers: Midland Heart; The Open University | Hours: 5.8</t>
  </si>
  <si>
    <t>Geoff Malpas|2026-07-01</t>
  </si>
  <si>
    <t>Geoff Malpas</t>
  </si>
  <si>
    <t>402832</t>
  </si>
  <si>
    <t>University of Bristol - Queens Road</t>
  </si>
  <si>
    <t>Worked: 1 record(s) | Branch: Bristol | Role: Operative Skilled | Jobs: 402832 | Customers: University of Bristol - Queens Road | Hours: 8.5</t>
  </si>
  <si>
    <t>Geoff Malpas|2026-07-02</t>
  </si>
  <si>
    <t>Worked: 1 record(s) | Branch: Bristol | Role: Operative Skilled | Jobs: 402832 | Customers: University of Bristol - Queens Road | Hours: 8.0</t>
  </si>
  <si>
    <t>Geoff Malpas|2026-07-03</t>
  </si>
  <si>
    <t>Worked: 1 record(s) | Branch: Thurrock | Role: Operative Porter | Jobs: 402287 | Customers: Accenture UK Ltd | Hours: 16.0</t>
  </si>
  <si>
    <t>Geoff Malpas|2026-07-04</t>
  </si>
  <si>
    <t>Geoff Malpas|2026-07-06</t>
  </si>
  <si>
    <t>Geoff Malpas|2026-07-07</t>
  </si>
  <si>
    <t>Worked: 1 record(s) | Branch: Thurrock | Role: Operative Driver | Jobs: 402287 | Customers: Accenture UK Ltd | Hours: 9.0</t>
  </si>
  <si>
    <t>Geoff Malpas|2026-07-08</t>
  </si>
  <si>
    <t>375286A</t>
  </si>
  <si>
    <t>BCC - 167 Rodbourne Road</t>
  </si>
  <si>
    <t>Worked: 1 record(s) | Branch: Bristol | Role: Operative Porter | Jobs: 375286A | Customers: BCC - 167 Rodbourne Road | Hours: 8.0</t>
  </si>
  <si>
    <t>Geoff Malpas|2026-07-09</t>
  </si>
  <si>
    <t>Leave: Annual Leave (Hours)</t>
  </si>
  <si>
    <t>Geoff Malpas|2026-07-10</t>
  </si>
  <si>
    <t>Geoff Malpas|2026-07-13</t>
  </si>
  <si>
    <t>Worked: 1 record(s) | Branch: Bristol | Role: Operative Porter | Jobs: 402750 | Customers: Barbican/ Cardiff Uni | Hours: 11.0</t>
  </si>
  <si>
    <t>Geoff Malpas|2026-07-14</t>
  </si>
  <si>
    <t>Worked: 1 record(s) | Branch: Bristol | Role: Operative Porter | Jobs: 402750 | Customers: Barbican/ Cardiff Uni | Hours: 9.5</t>
  </si>
  <si>
    <t>Greg Georgiou|2026-07-01</t>
  </si>
  <si>
    <t>Greg Georgiou</t>
  </si>
  <si>
    <t>Greg Georgiou|2026-07-02</t>
  </si>
  <si>
    <t>Greg Georgiou|2026-07-03</t>
  </si>
  <si>
    <t>Greg Georgiou|2026-07-04</t>
  </si>
  <si>
    <t>Greg Georgiou|2026-07-06</t>
  </si>
  <si>
    <t>Greg Georgiou|2026-07-07</t>
  </si>
  <si>
    <t>403004E</t>
  </si>
  <si>
    <t>Avantor (BRISTOL  JULY  2026 )</t>
  </si>
  <si>
    <t>Worked: 1 record(s) | Branch: Cambridge | Role: Operative Skilled | Jobs: 403004E | Customers: Avantor (BRISTOL  JULY  2026 ) | Hours: 6.0</t>
  </si>
  <si>
    <t>Greg Georgiou|2026-07-09</t>
  </si>
  <si>
    <t>Worked: 1 record(s) | Branch: Bristol | Role: Operative Skilled | Jobs: 398973 | Customers: UWE - Northavon House | Hours: 9.5</t>
  </si>
  <si>
    <t>Greg Georgiou|2026-07-13</t>
  </si>
  <si>
    <t>402827</t>
  </si>
  <si>
    <t>CBRE (Broadcom)</t>
  </si>
  <si>
    <t>Worked: 1 record(s) | Branch: Bristol | Role: Operative Skilled | Jobs: 402827 | Customers: CBRE (Broadcom) | Hours: 11.5</t>
  </si>
  <si>
    <t>Greg Georgiou|2026-07-14</t>
  </si>
  <si>
    <t>Worked: 1 record(s) | Branch: Bristol | Role: Operative Skilled | Jobs: 402827 | Customers: CBRE (Broadcom) | Hours: 9.0</t>
  </si>
  <si>
    <t>H Lorryman|2026-07-01</t>
  </si>
  <si>
    <t>H Lorryman</t>
  </si>
  <si>
    <t>Worked: 1 record(s) | Branch: Thurrock | Role: Operative Skilled | Jobs: 397246 | Customers: Ministry of Defence | Hours: 8.5</t>
  </si>
  <si>
    <t>H Lorryman|2026-07-02</t>
  </si>
  <si>
    <t>H Lorryman|2026-07-07</t>
  </si>
  <si>
    <t>Worked: 1 record(s) | Branch: Thurrock | Role: Operative Porter | Jobs: 402929 | Customers: Cadwalader Wickersham &amp; Taft LLP | Hours: 8.5</t>
  </si>
  <si>
    <t>H Lorryman|2026-07-08</t>
  </si>
  <si>
    <t>H Lorryman|2026-07-09</t>
  </si>
  <si>
    <t>H Lorryman|2026-07-10</t>
  </si>
  <si>
    <t>Worked: 1 record(s) | Branch: Thurrock | Role: Operative Porter | Jobs: 402575 | Customers: Latham &amp; Watkins | Hours: 10.0</t>
  </si>
  <si>
    <t>H Lorryman|2026-07-13</t>
  </si>
  <si>
    <t>Worked: 1 record(s) | Branch: Thurrock | Role: Operative Skilled | Jobs: 400033 | Customers: Ministry of Defence | Hours: 9.5</t>
  </si>
  <si>
    <t>H Lorryman|2026-07-14</t>
  </si>
  <si>
    <t>H Lorryman|2026-07-15</t>
  </si>
  <si>
    <t>I Salim|2026-07-01</t>
  </si>
  <si>
    <t>I Salim</t>
  </si>
  <si>
    <t>402483</t>
  </si>
  <si>
    <t>Worked: 1 record(s) | Branch: Thurrock | Role: Operative Porter | Jobs: 402483 | Customers: Accenture UK Ltd | Hours: 8.5</t>
  </si>
  <si>
    <t>I Salim|2026-07-02</t>
  </si>
  <si>
    <t>I Salim|2026-07-03</t>
  </si>
  <si>
    <t>I Salim|2026-07-04</t>
  </si>
  <si>
    <t>Worked: 1 record(s) | Branch: Thurrock | Role: Operative Porter | Jobs: 402483 | Customers: Accenture UK Ltd | Hours: 6.5</t>
  </si>
  <si>
    <t>I Salim|2026-07-06</t>
  </si>
  <si>
    <t>I Salim|2026-07-07</t>
  </si>
  <si>
    <t>I Salim|2026-07-08</t>
  </si>
  <si>
    <t>I Salim|2026-07-09</t>
  </si>
  <si>
    <t>I Salim|2026-07-10</t>
  </si>
  <si>
    <t>I Salim|2026-07-11</t>
  </si>
  <si>
    <t>I Salim|2026-07-12</t>
  </si>
  <si>
    <t>I Salim|2026-07-13</t>
  </si>
  <si>
    <t>I Salim|2026-07-14</t>
  </si>
  <si>
    <t>I Salim|2026-07-15</t>
  </si>
  <si>
    <t>Ian Leo|2026-07-01</t>
  </si>
  <si>
    <t>Ian Leo</t>
  </si>
  <si>
    <t>Ian Leo|2026-07-02</t>
  </si>
  <si>
    <t>Ian Leo|2026-07-03</t>
  </si>
  <si>
    <t>Ian Leo|2026-07-06</t>
  </si>
  <si>
    <t>Ian Leo|2026-07-07</t>
  </si>
  <si>
    <t>Ian Leo|2026-07-10</t>
  </si>
  <si>
    <t>J Callender|2026-07-01</t>
  </si>
  <si>
    <t>J Callender</t>
  </si>
  <si>
    <t>J Callender|2026-07-02</t>
  </si>
  <si>
    <t>J Callender|2026-07-03</t>
  </si>
  <si>
    <t>Worked: 1 record(s) | Branch: Thurrock | Role: Operative Porter | Jobs: 402765 | Customers: Apple Europe Ltd | Hours: 11.5</t>
  </si>
  <si>
    <t>J Callender|2026-07-04</t>
  </si>
  <si>
    <t>Worked: 1 record(s) | Branch: Thurrock | Role: Operative Porter | Jobs: 402765 | Customers: Apple Europe Ltd | Hours: 8.5</t>
  </si>
  <si>
    <t>J Callender|2026-07-06</t>
  </si>
  <si>
    <t>J Callender|2026-07-09</t>
  </si>
  <si>
    <t>J Callender|2026-07-10</t>
  </si>
  <si>
    <t>J Callender|2026-07-11</t>
  </si>
  <si>
    <t>J Callender|2026-07-13</t>
  </si>
  <si>
    <t>Worked: 1 record(s) | Branch: Thurrock | Role: Operative Porter | Jobs: 403324 | Customers: Apple Europe Ltd | Hours: 11.5</t>
  </si>
  <si>
    <t>J Callender|2026-07-14</t>
  </si>
  <si>
    <t>J Callender|2026-07-15</t>
  </si>
  <si>
    <t>J Kiero-Watson|2026-07-01</t>
  </si>
  <si>
    <t>J Kiero-Watson</t>
  </si>
  <si>
    <t>399017D</t>
  </si>
  <si>
    <t>Worked: 1 record(s) | Branch: Croydon | Role: Operative Skilled | Jobs: 399017D | Customers: Apple Europe Ltd | Hours: 10.0</t>
  </si>
  <si>
    <t>J Kiero-Watson|2026-07-02</t>
  </si>
  <si>
    <t>J Kiero-Watson|2026-07-03</t>
  </si>
  <si>
    <t>J Kiero-Watson|2026-07-06</t>
  </si>
  <si>
    <t>J Kiero-Watson|2026-07-07</t>
  </si>
  <si>
    <t>J Kiero-Watson|2026-07-08</t>
  </si>
  <si>
    <t>J Kiero-Watson|2026-07-10</t>
  </si>
  <si>
    <t>J Kiero-Watson|2026-07-13</t>
  </si>
  <si>
    <t>J Kiero-Watson|2026-07-14</t>
  </si>
  <si>
    <t>J Kiero-Watson|2026-07-15</t>
  </si>
  <si>
    <t>J McGinley|2026-07-01</t>
  </si>
  <si>
    <t>J McGinley</t>
  </si>
  <si>
    <t>Worked: 1 record(s) | Branch: Thurrock | Role: Operative Skilled | Jobs: 402483 | Customers: Accenture UK Ltd | Hours: 10.5</t>
  </si>
  <si>
    <t>J McGinley|2026-07-02</t>
  </si>
  <si>
    <t>J McGinley|2026-07-03</t>
  </si>
  <si>
    <t>J McGinley|2026-07-06</t>
  </si>
  <si>
    <t>J McGinley|2026-07-07</t>
  </si>
  <si>
    <t>J McGinley|2026-07-08</t>
  </si>
  <si>
    <t>J McGinley|2026-07-09</t>
  </si>
  <si>
    <t>J McGinley|2026-07-10</t>
  </si>
  <si>
    <t>J McGinley|2026-07-13</t>
  </si>
  <si>
    <t>J McGinley|2026-07-14</t>
  </si>
  <si>
    <t>J McGinley|2026-07-15</t>
  </si>
  <si>
    <t>J Samuels|2026-07-01</t>
  </si>
  <si>
    <t>J Samuels</t>
  </si>
  <si>
    <t>Worked: 1 record(s) | Branch: Croydon | Role: Operative Porter | Jobs: 402809 | Customers: Dyerecylce (ICL South Kensington) | Hours: 8.0</t>
  </si>
  <si>
    <t>J Samuels|2026-07-03</t>
  </si>
  <si>
    <t>J Samuels|2026-07-06</t>
  </si>
  <si>
    <t>Worked: 1 record(s) | Branch: Croydon | Role: Operative Skilled | Jobs: 400111 | Customers: Bromley Central Library | Hours: 9.0</t>
  </si>
  <si>
    <t>J Samuels|2026-07-07</t>
  </si>
  <si>
    <t>J Samuels|2026-07-08</t>
  </si>
  <si>
    <t>Worked: 1 record(s) | Branch: Croydon | Role: Operative Skilled | Jobs: 400111 | Customers: Bromley Central Library | Hours: 6.0</t>
  </si>
  <si>
    <t>J Samuels|2026-07-09</t>
  </si>
  <si>
    <t>Worked: 1 record(s) | Branch: Croydon | Role: Operative Skilled | Jobs: 400111 | Customers: Bromley Central Library | Hours: 8.0</t>
  </si>
  <si>
    <t>J Samuels|2026-07-13</t>
  </si>
  <si>
    <t>J Samuels|2026-07-14</t>
  </si>
  <si>
    <t>Worked: 1 record(s) | Branch: Croydon | Role: Operative Skilled | Jobs: 400111 | Customers: Bromley Central Library | Hours: 7.5</t>
  </si>
  <si>
    <t>J Samuels|2026-07-15</t>
  </si>
  <si>
    <t>J Stephenson|2026-07-01</t>
  </si>
  <si>
    <t>J Stephenson</t>
  </si>
  <si>
    <t>Worked: 1 record(s) | Branch: Thurrock | Role: Operative Skilled | Jobs: 401494 | Customers: Susquehanna International Group (SIG) | Hours: 9.0</t>
  </si>
  <si>
    <t>J Stephenson|2026-07-02</t>
  </si>
  <si>
    <t>401175, 401494</t>
  </si>
  <si>
    <t>Hogan Lovells LLP; Susquehanna International Group (SIG)</t>
  </si>
  <si>
    <t>Worked: 2 record(s) | Branch: Thurrock | Role: Operative Skilled | Jobs: 401175, 401494 | Customers: Hogan Lovells LLP; Susquehanna International Group (SIG) | Hours: 13.8</t>
  </si>
  <si>
    <t>J Stephenson|2026-07-03</t>
  </si>
  <si>
    <t>Worked: 1 record(s) | Branch: Thurrock | Role: Operative Skilled | Jobs: 401175 | Customers: Hogan Lovells LLP | Hours: 17.0</t>
  </si>
  <si>
    <t>J Stephenson|2026-07-04</t>
  </si>
  <si>
    <t>Worked: 1 record(s) | Branch: Thurrock | Role: Operative Skilled | Jobs: 401175 | Customers: Hogan Lovells LLP | Hours: 17.5</t>
  </si>
  <si>
    <t>J Stephenson|2026-07-05</t>
  </si>
  <si>
    <t>J Stephenson|2026-07-06</t>
  </si>
  <si>
    <t>J Stephenson|2026-07-07</t>
  </si>
  <si>
    <t>402572</t>
  </si>
  <si>
    <t>City of London Police</t>
  </si>
  <si>
    <t>Worked: 1 record(s) | Branch: Thurrock | Role: Operative Porter | Jobs: 402572 | Customers: City of London Police | Hours: 8.0</t>
  </si>
  <si>
    <t>J Stephenson|2026-07-08</t>
  </si>
  <si>
    <t>399620</t>
  </si>
  <si>
    <t>Worked: 1 record(s) | Branch: Thurrock | Role: Operative Porter | Jobs: 399620 | Customers: Accenture UK Ltd | Hours: 7.0</t>
  </si>
  <si>
    <t>J Stephenson|2026-07-09</t>
  </si>
  <si>
    <t>Worked: 1 record(s) | Branch: Thurrock | Role: Operative Skilled | Jobs: 402929 | Customers: Cadwalader Wickersham &amp; Taft LLP | Hours: 7.5</t>
  </si>
  <si>
    <t>J Stephenson|2026-07-10</t>
  </si>
  <si>
    <t>403349</t>
  </si>
  <si>
    <t>HSBC</t>
  </si>
  <si>
    <t>Worked: 1 record(s) | Branch: Thurrock | Role: Operative Skilled | Jobs: 403349 | Customers: HSBC | Hours: 8.5</t>
  </si>
  <si>
    <t>J Stephenson|2026-07-13</t>
  </si>
  <si>
    <t>403384, 403435</t>
  </si>
  <si>
    <t>Andrews Sykes Hire Limited; London Metropolitan University</t>
  </si>
  <si>
    <t>Worked: 2 record(s) | Branch: Thurrock | Role: Operative Porter, Operative Skilled | Jobs: 403384, 403435 | Customers: Andrews Sykes Hire Limited; London Metropolitan University | Hours: 13.0</t>
  </si>
  <si>
    <t>J Stephenson|2026-07-14</t>
  </si>
  <si>
    <t>403375</t>
  </si>
  <si>
    <t>Worked: 1 record(s) | Branch: Thurrock | Role: Operative Porter | Jobs: 403375 | Customers: Apple Europe Ltd | Hours: 6.5</t>
  </si>
  <si>
    <t>J Stephenson|2026-07-15</t>
  </si>
  <si>
    <t>J. Richardson|2026-07-01</t>
  </si>
  <si>
    <t>J. Richardson</t>
  </si>
  <si>
    <t>J. Richardson|2026-07-02</t>
  </si>
  <si>
    <t>J. Richardson|2026-07-04</t>
  </si>
  <si>
    <t>Worked: 1 record(s) | Branch: Thurrock | Role: Operative Porter | Jobs: 403160 | Customers: Bnp Paribas Limited | Hours: 10.5</t>
  </si>
  <si>
    <t>J. Richardson|2026-07-13</t>
  </si>
  <si>
    <t>J. Richardson|2026-07-14</t>
  </si>
  <si>
    <t>J. Richardson|2026-07-15</t>
  </si>
  <si>
    <t>Jake Giles|2026-07-07</t>
  </si>
  <si>
    <t>Jake Giles</t>
  </si>
  <si>
    <t>389934</t>
  </si>
  <si>
    <t>Lubricants UK Ltd</t>
  </si>
  <si>
    <t>Worked: 1 record(s) | Branch: Oxford | Role: Operative Porter | Jobs: 389934 | Customers: Lubricants UK Ltd | Hours: 8.5</t>
  </si>
  <si>
    <t>Jake Giles|2026-07-09</t>
  </si>
  <si>
    <t>402446</t>
  </si>
  <si>
    <t>Evox Therapeutics</t>
  </si>
  <si>
    <t>Worked: 1 record(s) | Branch: Oxford | Role: Operative Skilled | Jobs: 402446 | Customers: Evox Therapeutics | Hours: 9.4</t>
  </si>
  <si>
    <t>Jake Giles|2026-07-10</t>
  </si>
  <si>
    <t>403055</t>
  </si>
  <si>
    <t>Centre for Clinical Vaccinology and Tropical Medicine</t>
  </si>
  <si>
    <t>Worked: 1 record(s) | Branch: Oxford | Role: Operative Porter | Jobs: 403055 | Customers: Centre for Clinical Vaccinology and Tropical Medicine | Hours: 5.0</t>
  </si>
  <si>
    <t>Jake Giles|2026-07-14</t>
  </si>
  <si>
    <t>403097</t>
  </si>
  <si>
    <t>Ellison Institute of Technology, Oxford Ltd</t>
  </si>
  <si>
    <t>Worked: 1 record(s) | Branch: Oxford | Role: Operative Porter | Jobs: 403097 | Customers: Ellison Institute of Technology, Oxford Ltd | Hours: 8.5</t>
  </si>
  <si>
    <t>Jake Giles|2026-07-15</t>
  </si>
  <si>
    <t>Worked: 1 record(s) | Branch: Oxford | Role: Operative Porter | Jobs: 402446 | Customers: Evox Therapeutics | Hours: 4.3</t>
  </si>
  <si>
    <t>Jake Mills|2026-07-02</t>
  </si>
  <si>
    <t>Jake Mills</t>
  </si>
  <si>
    <t>Worked: 1 record(s) | Branch: Birmingham | Role: Operative Porter | Jobs: 401369 | Customers: Canal &amp; River Trust | Hours: 6.5</t>
  </si>
  <si>
    <t>Jake Mills|2026-07-03</t>
  </si>
  <si>
    <t>Birmingham, Manchester</t>
  </si>
  <si>
    <t>401369, 402960</t>
  </si>
  <si>
    <t>CBRE/NCC Services Ltd; Canal &amp; River Trust</t>
  </si>
  <si>
    <t>Worked: 2 record(s) | Branch: Birmingham, Manchester | Role: Operative Skilled | Jobs: 401369, 402960 | Customers: CBRE/NCC Services Ltd; Canal &amp; River Trust | Hours: 5.0</t>
  </si>
  <si>
    <t>Jake Mills|2026-07-06</t>
  </si>
  <si>
    <t>Worked: 1 record(s) | Branch: Glasgow | Role: Operative Porter | Jobs: 392549 | Customers: NHS GG&amp;C | Hours: 9.0</t>
  </si>
  <si>
    <t>Jake Mills|2026-07-07</t>
  </si>
  <si>
    <t>Worked: 1 record(s) | Branch: Glasgow | Role: Operative Porter | Jobs: 392549 | Customers: NHS GG&amp;C | Hours: 8.0</t>
  </si>
  <si>
    <t>Jake Mills|2026-07-08</t>
  </si>
  <si>
    <t>Jake Mills|2026-07-09</t>
  </si>
  <si>
    <t>Jake Mills|2026-07-11</t>
  </si>
  <si>
    <t>403222</t>
  </si>
  <si>
    <t>Worked: 1 record(s) | Branch: Thurrock | Role: Operative Skilled | Jobs: 403222 | Customers: Accenture UK Ltd | Hours: 11.0</t>
  </si>
  <si>
    <t>Jake Mills|2026-07-13</t>
  </si>
  <si>
    <t>403229</t>
  </si>
  <si>
    <t>NHS SBS - Clatterbridge Hospital</t>
  </si>
  <si>
    <t>Worked: 1 record(s) | Branch: Manchester | Role: Operative Skilled | Jobs: 403229 | Customers: NHS SBS - Clatterbridge Hospital | Hours: 1.2</t>
  </si>
  <si>
    <t>Jake Mills|2026-07-14</t>
  </si>
  <si>
    <t>Worked: 1 record(s) | Branch: Birmingham | Role: Operative Skilled | Jobs: 402564 | Customers: Midland Heart Limited | Hours: 5.0</t>
  </si>
  <si>
    <t>Jakub Zimnicki|2026-07-01</t>
  </si>
  <si>
    <t>Jakub Zimnicki</t>
  </si>
  <si>
    <t>Jakub Zimnicki|2026-07-02</t>
  </si>
  <si>
    <t>400738</t>
  </si>
  <si>
    <t>GPE  (ORIEL BUILDING LONDON)</t>
  </si>
  <si>
    <t>Worked: 1 record(s) | Branch: Cambridge | Role: Operative Porter | Jobs: 400738 | Customers: GPE  (ORIEL BUILDING LONDON) | Hours: 4.5</t>
  </si>
  <si>
    <t>Jakub Zimnicki|2026-07-03</t>
  </si>
  <si>
    <t>Jakub Zimnicki|2026-07-04</t>
  </si>
  <si>
    <t>402791</t>
  </si>
  <si>
    <t>Worked: 1 record(s) | Branch: Cambridge | Role: Operative Porter | Jobs: 402791 | Customers: Anglia Ruskin University | Hours: 6.0</t>
  </si>
  <si>
    <t>Jakub Zimnicki|2026-07-06</t>
  </si>
  <si>
    <t>Jakub Zimnicki|2026-07-10</t>
  </si>
  <si>
    <t>Worked: 1 record(s) | Branch: Cambridge | Role: Operative Porter | Jobs: 403004 | Customers: Avantor ( CAMBRIDGE JULY  2026 ) | Hours: 5.0</t>
  </si>
  <si>
    <t>James Stevenson|2026-07-06</t>
  </si>
  <si>
    <t>James Stevenson</t>
  </si>
  <si>
    <t>402567</t>
  </si>
  <si>
    <t>Scottish Courts and Tribunals Service</t>
  </si>
  <si>
    <t>Worked: 1 record(s) | Branch: Glasgow | Role: Operative Porter | Jobs: 402567 | Customers: Scottish Courts and Tribunals Service | Hours: 8.0</t>
  </si>
  <si>
    <t>James Stevenson|2026-07-07</t>
  </si>
  <si>
    <t>James Stevenson|2026-07-08</t>
  </si>
  <si>
    <t>Worked: 1 record(s) | Branch: Glasgow | Role: Operative Porter | Jobs: 402567 | Customers: Scottish Courts and Tribunals Service | Hours: 12.0</t>
  </si>
  <si>
    <t>James Stevenson|2026-07-09</t>
  </si>
  <si>
    <t>Worked: 1 record(s) | Branch: Glasgow | Role: Operative Porter | Jobs: 402567 | Customers: Scottish Courts and Tribunals Service | Hours: 4.0</t>
  </si>
  <si>
    <t>James Stevenson|2026-07-10</t>
  </si>
  <si>
    <t>403004G</t>
  </si>
  <si>
    <t>Avantor (GLASGOW   JULY  2026 )</t>
  </si>
  <si>
    <t>Worked: 1 record(s) | Branch: Cambridge | Role: Operative Porter | Jobs: 403004G | Customers: Avantor (GLASGOW   JULY  2026 ) | Hours: 9.0</t>
  </si>
  <si>
    <t>James Stevenson|2026-07-13</t>
  </si>
  <si>
    <t>403106</t>
  </si>
  <si>
    <t>C/O South Lanarkshire Council</t>
  </si>
  <si>
    <t>Worked: 1 record(s) | Branch: Glasgow | Role: Operative Porter | Jobs: 403106 | Customers: C/O South Lanarkshire Council | Hours: 10.0</t>
  </si>
  <si>
    <t>James Stevenson|2026-07-14</t>
  </si>
  <si>
    <t>403357</t>
  </si>
  <si>
    <t>Stobhill Hospital</t>
  </si>
  <si>
    <t>Worked: 1 record(s) | Branch: Glasgow | Role: Operative Porter | Jobs: 403357 | Customers: Stobhill Hospital | Hours: 8.0</t>
  </si>
  <si>
    <t>James Stevenson|2026-07-15</t>
  </si>
  <si>
    <t>Birmingham, Glasgow</t>
  </si>
  <si>
    <t>403027, 403313</t>
  </si>
  <si>
    <t>C/O South lananrkshire Council; HSBC - Branch Audits (2)</t>
  </si>
  <si>
    <t>Worked: 2 record(s) | Branch: Birmingham, Glasgow | Role: Operative Porter, Operative Skilled | Jobs: 403027, 403313 | Customers: C/O South lananrkshire Council; HSBC - Branch Audits (2) | Hours: 15.0</t>
  </si>
  <si>
    <t>Jamie Robinson|2026-07-02</t>
  </si>
  <si>
    <t>Jamie Robinson</t>
  </si>
  <si>
    <t>Jamie Robinson|2026-07-07</t>
  </si>
  <si>
    <t>Jamie Robinson|2026-07-08</t>
  </si>
  <si>
    <t>Jamie Robinson|2026-07-09</t>
  </si>
  <si>
    <t>Jamie Robinson|2026-07-13</t>
  </si>
  <si>
    <t>403256</t>
  </si>
  <si>
    <t>University of Glasgow</t>
  </si>
  <si>
    <t>Worked: 1 record(s) | Branch: Glasgow | Role: Operative Porter | Jobs: 403256 | Customers: University of Glasgow | Hours: 8.0</t>
  </si>
  <si>
    <t>Jamie Robinson|2026-07-14</t>
  </si>
  <si>
    <t>403185</t>
  </si>
  <si>
    <t>South Lanarkshire Council</t>
  </si>
  <si>
    <t>Worked: 1 record(s) | Branch: Glasgow | Role: Operative Porter | Jobs: 403185 | Customers: South Lanarkshire Council | Hours: 8.0</t>
  </si>
  <si>
    <t>Jay Newill|2026-07-01</t>
  </si>
  <si>
    <t>Jay Newill</t>
  </si>
  <si>
    <t>Jay Newill|2026-07-02</t>
  </si>
  <si>
    <t>Jay Newill|2026-07-03</t>
  </si>
  <si>
    <t>Jay Newill|2026-07-06</t>
  </si>
  <si>
    <t>Jay Newill|2026-07-07</t>
  </si>
  <si>
    <t>Jay Newill|2026-07-08</t>
  </si>
  <si>
    <t>Jay Newill|2026-07-09</t>
  </si>
  <si>
    <t>Jay Newill|2026-07-10</t>
  </si>
  <si>
    <t>Jay Newill|2026-07-13</t>
  </si>
  <si>
    <t>Worked: 1 record(s) | Branch: Thurrock | Role: Operative Porter | Jobs: 402575 | Customers: Latham &amp; Watkins | Hours: 9.5</t>
  </si>
  <si>
    <t>Jay Newill|2026-07-14</t>
  </si>
  <si>
    <t>Jay Newill|2026-07-15</t>
  </si>
  <si>
    <t>John Nye|2026-07-01</t>
  </si>
  <si>
    <t>John Nye</t>
  </si>
  <si>
    <t>400022E</t>
  </si>
  <si>
    <t>The British Library</t>
  </si>
  <si>
    <t>Worked: 1 record(s) | Branch: Leeds | Role: Operative Driver | Jobs: 400022E | Customers: The British Library | Hours: 12.0</t>
  </si>
  <si>
    <t>John Nye|2026-07-02</t>
  </si>
  <si>
    <t>John Nye|2026-07-03</t>
  </si>
  <si>
    <t>John Nye|2026-07-06</t>
  </si>
  <si>
    <t>John Nye|2026-07-07</t>
  </si>
  <si>
    <t>John Nye|2026-07-08</t>
  </si>
  <si>
    <t>John Nye|2026-07-09</t>
  </si>
  <si>
    <t>John Nye|2026-07-10</t>
  </si>
  <si>
    <t>John Nye|2026-07-13</t>
  </si>
  <si>
    <t>John Nye|2026-07-14</t>
  </si>
  <si>
    <t>John Nye|2026-07-15</t>
  </si>
  <si>
    <t>John Smith|2026-07-01</t>
  </si>
  <si>
    <t>John Smith</t>
  </si>
  <si>
    <t>Worked: 3 record(s) | Branch: Leeds | Role: Operative Porter | Jobs: 401226, 402652, 402831 | Customers: HM Prison and Probation Service; MOJ - Sodexo SR:60551; University of Leeds | Hours: 8.8</t>
  </si>
  <si>
    <t>John Smith|2026-07-02</t>
  </si>
  <si>
    <t>403037</t>
  </si>
  <si>
    <t>Worked: 1 record(s) | Branch: Leeds | Role: Operative Porter | Jobs: 403037 | Customers: Kirklees Council - Domestic | Hours: 8.5</t>
  </si>
  <si>
    <t>John Smith|2026-07-06</t>
  </si>
  <si>
    <t>401226, 402771</t>
  </si>
  <si>
    <t>Summer Schools - Kirklees; University of Leeds</t>
  </si>
  <si>
    <t>Worked: 2 record(s) | Branch: Leeds | Role: Operative Porter | Jobs: 401226, 402771 | Customers: Summer Schools - Kirklees; University of Leeds | Hours: 9.0</t>
  </si>
  <si>
    <t>John Smith|2026-07-07</t>
  </si>
  <si>
    <t>Worked: 1 record(s) | Branch: Leeds | Role: Operative Skilled | Jobs: 402478 | Customers: West Yorkshire Police (Huddersfield) | Hours: 10.0</t>
  </si>
  <si>
    <t>John Smith|2026-07-08</t>
  </si>
  <si>
    <t>402723</t>
  </si>
  <si>
    <t>Newcastle University</t>
  </si>
  <si>
    <t>Worked: 1 record(s) | Branch: Leeds | Role: Operative Porter | Jobs: 402723 | Customers: Newcastle University | Hours: 11.5</t>
  </si>
  <si>
    <t>John Smith|2026-07-10</t>
  </si>
  <si>
    <t>402713, 402716, 403345</t>
  </si>
  <si>
    <t>Kirklees Council - Nicola &amp; Craig Poole; Kirklees Council - Patricia Halstead; Kirklees Council - Pooja Thakor</t>
  </si>
  <si>
    <t>Worked: 3 record(s) | Branch: Leeds | Role: Operative Porter | Jobs: 402713, 402716, 403345 | Customers: Kirklees Council - Nicola &amp; Craig Poole; Kirklees Council - Patricia Halstead; Kirklees Council - Pooja Thakor | Hours: 6.6</t>
  </si>
  <si>
    <t>John Smith|2026-07-11</t>
  </si>
  <si>
    <t>John Smith|2026-07-14</t>
  </si>
  <si>
    <t>Worked: 1 record(s) | Branch: Thurrock | Role: Operative Porter | Jobs: 398888 | Customers: Yu/Dr Shi | Hours: 2.8</t>
  </si>
  <si>
    <t>John Smith|2026-07-15</t>
  </si>
  <si>
    <t>Joshua Seeley|2026-07-01</t>
  </si>
  <si>
    <t>Joshua Seeley</t>
  </si>
  <si>
    <t>401828</t>
  </si>
  <si>
    <t>Biopharma  - ( ROYAL VETERINARY COLLEGE))</t>
  </si>
  <si>
    <t>Worked: 1 record(s) | Branch: Cambridge | Role: Operative Driver | Jobs: 401828 | Customers: Biopharma  - ( ROYAL VETERINARY COLLEGE)) | Hours: 8.5</t>
  </si>
  <si>
    <t>Joshua Seeley|2026-07-02</t>
  </si>
  <si>
    <t>Worked: 1 record(s) | Branch: Cambridge | Role: Operative Driver | Jobs: 400738 | Customers: GPE  (ORIEL BUILDING LONDON) | Hours: 4.5</t>
  </si>
  <si>
    <t>Joshua Seeley|2026-07-03</t>
  </si>
  <si>
    <t>Joshua Seeley|2026-07-06</t>
  </si>
  <si>
    <t>Worked: 1 record(s) | Branch: Croydon | Role: Operative Driver | Jobs: 402797 | Customers: KI-Hydrogen (Scale Space) | Hours: 12.0</t>
  </si>
  <si>
    <t>Joshua Seeley|2026-07-07</t>
  </si>
  <si>
    <t>Worked: 1 record(s) | Branch: Cambridge | Role: Operative Driver | Jobs: 403004 | Customers: Avantor ( CAMBRIDGE JULY  2026 ) | Hours: 6.0</t>
  </si>
  <si>
    <t>Joshua Seeley|2026-07-10</t>
  </si>
  <si>
    <t>Worked: 1 record(s) | Branch: Cambridge | Role: Operative Driver | Jobs: 403004 | Customers: Avantor ( CAMBRIDGE JULY  2026 ) | Hours: 5.0</t>
  </si>
  <si>
    <t>K Bouakkaz|2026-07-01</t>
  </si>
  <si>
    <t>K Bouakkaz</t>
  </si>
  <si>
    <t>K Bouakkaz|2026-07-02</t>
  </si>
  <si>
    <t>Worked: 1 record(s) | Branch: Thurrock | Role: Operative Porter | Jobs: 403143 | Customers: Societe Generale | Hours: 8.0</t>
  </si>
  <si>
    <t>K Bouakkaz|2026-07-03</t>
  </si>
  <si>
    <t>K Bouakkaz|2026-07-06</t>
  </si>
  <si>
    <t>K Bouakkaz|2026-07-07</t>
  </si>
  <si>
    <t>K Bouakkaz|2026-07-09</t>
  </si>
  <si>
    <t>K Bouakkaz|2026-07-10</t>
  </si>
  <si>
    <t>K Bouakkaz|2026-07-15</t>
  </si>
  <si>
    <t>403048</t>
  </si>
  <si>
    <t>Adecco Group</t>
  </si>
  <si>
    <t>Worked: 1 record(s) | Branch: Thurrock | Role: Operative Porter | Jobs: 403048 | Customers: Adecco Group | Hours: 7.5</t>
  </si>
  <si>
    <t>K Ford|2026-07-01</t>
  </si>
  <si>
    <t>K Ford</t>
  </si>
  <si>
    <t>403132</t>
  </si>
  <si>
    <t>Worked: 1 record(s) | Branch: Thurrock | Role: Operative Skilled | Jobs: 403132 | Customers: AlixPartners LLP | Hours: 8.0</t>
  </si>
  <si>
    <t>K Ford|2026-07-02</t>
  </si>
  <si>
    <t>K Ford|2026-07-03</t>
  </si>
  <si>
    <t>K Ford|2026-07-04</t>
  </si>
  <si>
    <t>K Ford|2026-07-05</t>
  </si>
  <si>
    <t>K Ford|2026-07-06</t>
  </si>
  <si>
    <t>K Ford|2026-07-07</t>
  </si>
  <si>
    <t>K Ford|2026-07-08</t>
  </si>
  <si>
    <t>Worked: 1 record(s) | Branch: Thurrock | Role: Operative Porter | Jobs: 403219 | Customers: Jurado/Slendy | Hours: 8.0</t>
  </si>
  <si>
    <t>K Ford|2026-07-15</t>
  </si>
  <si>
    <t>K Ford|2026-07-16</t>
  </si>
  <si>
    <t>K Neighbour|2026-07-01</t>
  </si>
  <si>
    <t>K Neighbour</t>
  </si>
  <si>
    <t>K Neighbour|2026-07-06</t>
  </si>
  <si>
    <t>Worked: 1 record(s) | Branch: Croydon | Role: Operative Skilled | Jobs: 396514A | Customers: Surrey County Council | Hours: 6.5</t>
  </si>
  <si>
    <t>K Neighbour|2026-07-07</t>
  </si>
  <si>
    <t>K Neighbour|2026-07-08</t>
  </si>
  <si>
    <t>Worked: 1 record(s) | Branch: Croydon | Role: Operative Skilled | Jobs: 393361E | Customers: The Quadrant | Hours: 4.0</t>
  </si>
  <si>
    <t>K Neighbour|2026-07-09</t>
  </si>
  <si>
    <t>Worked: 1 record(s) | Branch: Croydon | Role: Operative Skilled | Jobs: 393361E | Customers: The Quadrant | Hours: 7.5</t>
  </si>
  <si>
    <t>K Neighbour|2026-07-10</t>
  </si>
  <si>
    <t>K Neighbour|2026-07-15</t>
  </si>
  <si>
    <t>K Olajide|2026-07-01</t>
  </si>
  <si>
    <t>K Olajide</t>
  </si>
  <si>
    <t>403162</t>
  </si>
  <si>
    <t>Worked: 1 record(s) | Branch: Thurrock | Role: Operative Porter | Jobs: 403162 | Customers: Bank of America Merrill Lynch | Hours: 8.5</t>
  </si>
  <si>
    <t>K Olajide|2026-07-02</t>
  </si>
  <si>
    <t>K Olajide|2026-07-03</t>
  </si>
  <si>
    <t>K Olajide|2026-07-04</t>
  </si>
  <si>
    <t>K Olajide|2026-07-06</t>
  </si>
  <si>
    <t>K Olajide|2026-07-07</t>
  </si>
  <si>
    <t>K Olajide|2026-07-08</t>
  </si>
  <si>
    <t>K Olajide|2026-07-09</t>
  </si>
  <si>
    <t>K Olajide|2026-07-10</t>
  </si>
  <si>
    <t>K Olajide|2026-07-13</t>
  </si>
  <si>
    <t>K Olajide|2026-07-14</t>
  </si>
  <si>
    <t>403311</t>
  </si>
  <si>
    <t>Haringey Council</t>
  </si>
  <si>
    <t>Worked: 1 record(s) | Branch: Thurrock | Role: Operative Porter | Jobs: 403311 | Customers: Haringey Council | Hours: 8.5</t>
  </si>
  <si>
    <t>K Olajide|2026-07-15</t>
  </si>
  <si>
    <t>Worked: 1 record(s) | Branch: Thurrock | Role: Operative Porter | Jobs: 402483 | Customers: Accenture UK Ltd | Hours: 9.0</t>
  </si>
  <si>
    <t>K Stappard|2026-07-02</t>
  </si>
  <si>
    <t>K Stappard</t>
  </si>
  <si>
    <t>Worked: 1 record(s) | Branch: Thurrock | Role: Operative Porter | Jobs: 402287 | Customers: Accenture UK Ltd | Hours: 11.5</t>
  </si>
  <si>
    <t>K Stappard|2026-07-03</t>
  </si>
  <si>
    <t>Worked: 1 record(s) | Branch: Thurrock | Role: Operative Porter | Jobs: 402287 | Customers: Accenture UK Ltd | Hours: 8.5</t>
  </si>
  <si>
    <t>K Stappard|2026-07-04</t>
  </si>
  <si>
    <t>K Stappard|2026-07-05</t>
  </si>
  <si>
    <t>K Stappard|2026-07-06</t>
  </si>
  <si>
    <t>K Stappard|2026-07-07</t>
  </si>
  <si>
    <t>K Stappard|2026-07-08</t>
  </si>
  <si>
    <t>K Stappard|2026-07-09</t>
  </si>
  <si>
    <t>K Stappard|2026-07-10</t>
  </si>
  <si>
    <t>K Stappard|2026-07-13</t>
  </si>
  <si>
    <t>K Stappard|2026-07-14</t>
  </si>
  <si>
    <t>K Stappard|2026-07-15</t>
  </si>
  <si>
    <t>Kieran Chapman|2026-07-01</t>
  </si>
  <si>
    <t>Kieran Chapman</t>
  </si>
  <si>
    <t>Kieran Chapman|2026-07-02</t>
  </si>
  <si>
    <t>Kieran Chapman|2026-07-03</t>
  </si>
  <si>
    <t>Kieran Chapman|2026-07-10</t>
  </si>
  <si>
    <t>Kyle Gourley|2026-07-06</t>
  </si>
  <si>
    <t>Kyle Gourley</t>
  </si>
  <si>
    <t>Worked: 1 record(s) | Branch: Oxford | Role: Operative Porter | Jobs: 401554 | Customers: CPM/Omnicom | Hours: 9.5</t>
  </si>
  <si>
    <t>Kyle Gourley|2026-07-07</t>
  </si>
  <si>
    <t>Kyle Gourley|2026-07-09</t>
  </si>
  <si>
    <t>Worked: 1 record(s) | Branch: Oxford | Role: Operative Porter | Jobs: 402446 | Customers: Evox Therapeutics | Hours: 9.4</t>
  </si>
  <si>
    <t>Kyle Gourley|2026-07-10</t>
  </si>
  <si>
    <t>402781</t>
  </si>
  <si>
    <t>Evotec</t>
  </si>
  <si>
    <t>Worked: 1 record(s) | Branch: Oxford | Role: Operative Porter | Jobs: 402781 | Customers: Evotec | Hours: 6.3</t>
  </si>
  <si>
    <t>Kyle Gourley|2026-07-13</t>
  </si>
  <si>
    <t>403004F</t>
  </si>
  <si>
    <t>Avantor (OXFORD   JULY  2026 )</t>
  </si>
  <si>
    <t>Worked: 1 record(s) | Branch: Cambridge | Role: Operative Porter | Jobs: 403004F | Customers: Avantor (OXFORD   JULY  2026 ) | Hours: 3.5</t>
  </si>
  <si>
    <t>Kyle Gourley|2026-07-14</t>
  </si>
  <si>
    <t>Kyle Gourley|2026-07-15</t>
  </si>
  <si>
    <t>402446, 403473</t>
  </si>
  <si>
    <t>Evox Therapeutics; Vertex Pharmaceuticals Limited</t>
  </si>
  <si>
    <t>Worked: 2 record(s) | Branch: Oxford | Role: Operative Porter | Jobs: 402446, 403473 | Customers: Evox Therapeutics; Vertex Pharmaceuticals Limited | Hours: 6.3</t>
  </si>
  <si>
    <t>Lee Belcher|2026-07-06</t>
  </si>
  <si>
    <t>Lee Belcher</t>
  </si>
  <si>
    <t>Worked: 1 record(s) | Branch: Oxford | Role: Operative Driver | Jobs: 401554 | Customers: CPM/Omnicom | Hours: 9.5</t>
  </si>
  <si>
    <t>Lee Belcher|2026-07-07</t>
  </si>
  <si>
    <t>Worked: 1 record(s) | Branch: Oxford | Role: Operative Porter | Jobs: 401554 | Customers: CPM/Omnicom | Hours: 9.0</t>
  </si>
  <si>
    <t>Lee Belcher|2026-07-09</t>
  </si>
  <si>
    <t>Lee Belcher|2026-07-10</t>
  </si>
  <si>
    <t>Worked: 1 record(s) | Branch: Oxford | Role: Operative Driver | Jobs: 403055 | Customers: Centre for Clinical Vaccinology and Tropical Medicine | Hours: 5.0</t>
  </si>
  <si>
    <t>Lee Belcher|2026-07-13</t>
  </si>
  <si>
    <t>Worked: 1 record(s) | Branch: Cambridge | Role: Operative Driver | Jobs: 403004F | Customers: Avantor (OXFORD   JULY  2026 ) | Hours: 3.5</t>
  </si>
  <si>
    <t>Lee Belcher|2026-07-14</t>
  </si>
  <si>
    <t>401109</t>
  </si>
  <si>
    <t>Theolytics</t>
  </si>
  <si>
    <t>Worked: 1 record(s) | Branch: Oxford | Role: Operative Driver | Jobs: 401109 | Customers: Theolytics | Hours: 2.0</t>
  </si>
  <si>
    <t>Lee Belcher|2026-07-15</t>
  </si>
  <si>
    <t>Lee Smith 2|2026-07-01</t>
  </si>
  <si>
    <t>Lee Smith 2</t>
  </si>
  <si>
    <t>Worked: 1 record(s) | Branch: Manchester | Role: Operative Porter | Jobs: 397251 | Customers: Lancaster University (Leadership Centre) | Hours: 7.0</t>
  </si>
  <si>
    <t>Lee Smith 2|2026-07-06</t>
  </si>
  <si>
    <t>Lee Smith 2|2026-07-07</t>
  </si>
  <si>
    <t>Lee Smith 2|2026-07-08</t>
  </si>
  <si>
    <t>Lee Smith 2|2026-07-09</t>
  </si>
  <si>
    <t>Lee Smith 2|2026-07-14</t>
  </si>
  <si>
    <t>403103, 403229</t>
  </si>
  <si>
    <t>Cheshire Fire; NHS SBS - Clatterbridge Hospital</t>
  </si>
  <si>
    <t>Worked: 2 record(s) | Branch: Manchester | Role: Operative Porter | Jobs: 403103, 403229 | Customers: Cheshire Fire; NHS SBS - Clatterbridge Hospital | Hours: 9.5</t>
  </si>
  <si>
    <t>Lee Smith 2|2026-07-15</t>
  </si>
  <si>
    <t>403242</t>
  </si>
  <si>
    <t>MOJ (Sodexo) SR:61036</t>
  </si>
  <si>
    <t>Worked: 1 record(s) | Branch: Manchester | Role: Operative Porter | Jobs: 403242 | Customers: MOJ (Sodexo) SR:61036 | Hours: 4.9</t>
  </si>
  <si>
    <t>Luke Nolan|2026-07-03</t>
  </si>
  <si>
    <t>Luke Nolan</t>
  </si>
  <si>
    <t>Birmingham, Leeds</t>
  </si>
  <si>
    <t>402634, 403046</t>
  </si>
  <si>
    <t>HSBC - July 2026 Deliveries; Kirklees Council - Mr Crawshaw</t>
  </si>
  <si>
    <t>Worked: 2 record(s) | Branch: Birmingham, Leeds | Role: Operative Porter | Jobs: 402634, 403046 | Customers: HSBC - July 2026 Deliveries; Kirklees Council - Mr Crawshaw | Hours: 8.0</t>
  </si>
  <si>
    <t>Luke Nolan|2026-07-07</t>
  </si>
  <si>
    <t>Worked: 1 record(s) | Branch: Manchester | Role: Operative Porter | Jobs: 402514 | Customers: MOJ - Sodexo SR:59311 | Hours: 3.5</t>
  </si>
  <si>
    <t>Luke Nolan|2026-07-08</t>
  </si>
  <si>
    <t>Luke Nolan|2026-07-09</t>
  </si>
  <si>
    <t>Worked: 1 record(s) | Branch: Manchester | Role: Operative Porter | Jobs: 403371 | Customers: CTVC Ltd | Hours: 6.5</t>
  </si>
  <si>
    <t>Luke Nolan|2026-07-14</t>
  </si>
  <si>
    <t>Worked: 1 record(s) | Branch: Birmingham | Role: Operative Porter | Jobs: 402564 | Customers: Midland Heart Limited | Hours: 5.0</t>
  </si>
  <si>
    <t>Luke Nolan|2026-07-15</t>
  </si>
  <si>
    <t>M Aliperti-Jones|2026-07-01</t>
  </si>
  <si>
    <t>M Aliperti-Jones</t>
  </si>
  <si>
    <t>Worked: 1 record(s) | Branch: Croydon | Role: Operative Skilled | Jobs: 402809 | Customers: Dyerecylce (ICL South Kensington) | Hours: 8.0</t>
  </si>
  <si>
    <t>M Aliperti-Jones|2026-07-02</t>
  </si>
  <si>
    <t>Worked: 1 record(s) | Branch: Croydon | Role: Operative Skilled | Jobs: 402709 | Customers: Global Outdoor Media Limited | Hours: 10.5</t>
  </si>
  <si>
    <t>M Aliperti-Jones|2026-07-03</t>
  </si>
  <si>
    <t>M Aliperti-Jones|2026-07-06</t>
  </si>
  <si>
    <t>Worked: 1 record(s) | Branch: Croydon | Role: Operative Porter | Jobs: 400111 | Customers: Bromley Central Library | Hours: 9.0</t>
  </si>
  <si>
    <t>M Aliperti-Jones|2026-07-07</t>
  </si>
  <si>
    <t>M Aliperti-Jones|2026-07-08</t>
  </si>
  <si>
    <t>M Aliperti-Jones|2026-07-09</t>
  </si>
  <si>
    <t>M Aliperti-Jones|2026-07-10</t>
  </si>
  <si>
    <t>M Aliperti-Jones|2026-07-13</t>
  </si>
  <si>
    <t>M Aliperti-Jones|2026-07-14</t>
  </si>
  <si>
    <t>M Aliperti-Jones|2026-07-15</t>
  </si>
  <si>
    <t>M Azuimah Apung (C)|2026-07-01</t>
  </si>
  <si>
    <t>M Azuimah Apung (C)</t>
  </si>
  <si>
    <t>Worked: 1 record(s) | Branch: Croydon | Role: Operative Driver | Jobs: 399451K | Customers: Royal Borough of Kensington and Chelsea | Hours: 9.0</t>
  </si>
  <si>
    <t>M Azuimah Apung (C)|2026-07-02</t>
  </si>
  <si>
    <t>Worked: 1 record(s) | Branch: Croydon | Role: Operative Driver | Jobs: 399451K | Customers: Royal Borough of Kensington and Chelsea | Hours: 6.5</t>
  </si>
  <si>
    <t>M Azuimah Apung (C)|2026-07-03</t>
  </si>
  <si>
    <t>Worked: 1 record(s) | Branch: Croydon | Role: Operative Driver | Jobs: 400111 | Customers: Bromley Central Library | Hours: 6.5</t>
  </si>
  <si>
    <t>M Azuimah Apung (C)|2026-07-06</t>
  </si>
  <si>
    <t>Worked: 1 record(s) | Branch: Croydon | Role: Operative Driver | Jobs: 400111 | Customers: Bromley Central Library | Hours: 9.0</t>
  </si>
  <si>
    <t>M Azuimah Apung (C)|2026-07-07</t>
  </si>
  <si>
    <t>M Azuimah Apung (C)|2026-07-08</t>
  </si>
  <si>
    <t>M Azuimah Apung (C)|2026-07-09</t>
  </si>
  <si>
    <t>M Azuimah Apung (C)|2026-07-13</t>
  </si>
  <si>
    <t>M Azuimah Apung (C)|2026-07-14</t>
  </si>
  <si>
    <t>Worked: 1 record(s) | Branch: Croydon | Role: Operative Driver | Jobs: 400111 | Customers: Bromley Central Library | Hours: 7.5</t>
  </si>
  <si>
    <t>M Azuimah Apung (C)|2026-07-15</t>
  </si>
  <si>
    <t>M Barnett|2026-07-01</t>
  </si>
  <si>
    <t>M Barnett</t>
  </si>
  <si>
    <t>M Barnett|2026-07-02</t>
  </si>
  <si>
    <t>Worked: 1 record(s) | Branch: Thurrock | Role: Operative Skilled | Jobs: 402287 | Customers: Accenture UK Ltd | Hours: 11.5</t>
  </si>
  <si>
    <t>M Barnett|2026-07-03</t>
  </si>
  <si>
    <t>Worked: 1 record(s) | Branch: Thurrock | Role: Operative Skilled | Jobs: 402287 | Customers: Accenture UK Ltd | Hours: 8.5</t>
  </si>
  <si>
    <t>M Barnett|2026-07-04</t>
  </si>
  <si>
    <t>M Barnett|2026-07-05</t>
  </si>
  <si>
    <t>M Barnett|2026-07-06</t>
  </si>
  <si>
    <t>M Barnett|2026-07-07</t>
  </si>
  <si>
    <t>M Barnett|2026-07-08</t>
  </si>
  <si>
    <t>M Barnett|2026-07-09</t>
  </si>
  <si>
    <t>M Barnett|2026-07-10</t>
  </si>
  <si>
    <t>M Barnett|2026-07-13</t>
  </si>
  <si>
    <t>M Barnett|2026-07-14</t>
  </si>
  <si>
    <t>M Barnett|2026-07-15</t>
  </si>
  <si>
    <t>M Haywood|2026-07-06</t>
  </si>
  <si>
    <t>M Haywood</t>
  </si>
  <si>
    <t>403287</t>
  </si>
  <si>
    <t>Worked: 1 record(s) | Branch: Thurrock | Role: Operative Porter | Jobs: 403287 | Customers: University of Hertfordshire | Hours: 8.0</t>
  </si>
  <si>
    <t>M Haywood|2026-07-07</t>
  </si>
  <si>
    <t>Worked: 1 record(s) | Branch: Thurrock | Role: Operative Porter | Jobs: 403087 | Customers: Heywood/Ms Theresa | Hours: 8.0</t>
  </si>
  <si>
    <t>M Haywood|2026-07-08</t>
  </si>
  <si>
    <t>Worked: 1 record(s) | Branch: Thurrock | Role: Operative Porter | Jobs: 398126 | Customers: Saunders/Tracey | Hours: 9.5</t>
  </si>
  <si>
    <t>M Haywood|2026-07-13</t>
  </si>
  <si>
    <t>M Haywood|2026-07-14</t>
  </si>
  <si>
    <t>M Haywood|2026-07-15</t>
  </si>
  <si>
    <t>403397</t>
  </si>
  <si>
    <t>Worked: 1 record(s) | Branch: Thurrock | Role: Operative Porter | Jobs: 403397 | Customers: University of Hertfordshire | Hours: 5.0</t>
  </si>
  <si>
    <t>M Lewis|2026-07-15</t>
  </si>
  <si>
    <t>M Lewis</t>
  </si>
  <si>
    <t>403420</t>
  </si>
  <si>
    <t>Clayton Dubilier &amp; Rice</t>
  </si>
  <si>
    <t>Worked: 1 record(s) | Branch: Thurrock | Role: Operative Skilled | Jobs: 403420 | Customers: Clayton Dubilier &amp; Rice | Hours: 8.5</t>
  </si>
  <si>
    <t>M Mynott (B)|2026-07-01</t>
  </si>
  <si>
    <t>M Mynott (B)</t>
  </si>
  <si>
    <t>402812</t>
  </si>
  <si>
    <t>Worked: 1 record(s) | Branch: Thurrock | Role: Operative Driver | Jobs: 402812 | Customers: Protech Network Solutions | Hours: 8.5</t>
  </si>
  <si>
    <t>M Mynott (B)|2026-07-02</t>
  </si>
  <si>
    <t>M Mynott (B)|2026-07-03</t>
  </si>
  <si>
    <t>M Mynott (B)|2026-07-06</t>
  </si>
  <si>
    <t>M Mynott (B)|2026-07-07</t>
  </si>
  <si>
    <t>403205</t>
  </si>
  <si>
    <t>Worked: 1 record(s) | Branch: Thurrock | Role: Operative Driver | Jobs: 403205 | Customers: Protech Network Solutions | Hours: 13.0</t>
  </si>
  <si>
    <t>M Mynott (B)|2026-07-08</t>
  </si>
  <si>
    <t>M Mynott (B)|2026-07-09</t>
  </si>
  <si>
    <t>400285</t>
  </si>
  <si>
    <t>Worked: 1 record(s) | Branch: Thurrock | Role: Operative Porter | Jobs: 400285 | Customers: Apple Europe Limited | Hours: 10.5</t>
  </si>
  <si>
    <t>M Mynott (B)|2026-07-10</t>
  </si>
  <si>
    <t>402990</t>
  </si>
  <si>
    <t>Worked: 1 record(s) | Branch: Thurrock | Role: Operative Skilled | Jobs: 402990 | Customers: Adecco Group | Hours: 7.0</t>
  </si>
  <si>
    <t>M Mynott (B)|2026-07-13</t>
  </si>
  <si>
    <t>403343</t>
  </si>
  <si>
    <t>Worked: 1 record(s) | Branch: Thurrock | Role: Operative Driver | Jobs: 403343 | Customers: Protech Network Solutions | Hours: 8.5</t>
  </si>
  <si>
    <t>M Mynott (B)|2026-07-14</t>
  </si>
  <si>
    <t>M Mynott (B)|2026-07-15</t>
  </si>
  <si>
    <t>403445</t>
  </si>
  <si>
    <t>Worked: 1 record(s) | Branch: Thurrock | Role: Operative Driver | Jobs: 403445 | Customers: Protech Network Solutions | Hours: 7.5</t>
  </si>
  <si>
    <t>M Palmer (B)|2026-07-01</t>
  </si>
  <si>
    <t>M Palmer (B)</t>
  </si>
  <si>
    <t>M Palmer (B)|2026-07-02</t>
  </si>
  <si>
    <t>M Palmer (B)|2026-07-03</t>
  </si>
  <si>
    <t>M Palmer (B)|2026-07-04</t>
  </si>
  <si>
    <t>Worked: 1 record(s) | Branch: Thurrock | Role: Operative Skilled | Jobs: 402483 | Customers: Accenture UK Ltd | Hours: 6.5</t>
  </si>
  <si>
    <t>M Palmer (B)|2026-07-06</t>
  </si>
  <si>
    <t>M Palmer (B)|2026-07-07</t>
  </si>
  <si>
    <t>M Palmer (B)|2026-07-08</t>
  </si>
  <si>
    <t>M Palmer (B)|2026-07-09</t>
  </si>
  <si>
    <t>M Palmer (B)|2026-07-10</t>
  </si>
  <si>
    <t>M Palmer (B)|2026-07-13</t>
  </si>
  <si>
    <t>M Palmer (B)|2026-07-14</t>
  </si>
  <si>
    <t>M Palmer (B)|2026-07-15</t>
  </si>
  <si>
    <t>M Parker|2026-07-01</t>
  </si>
  <si>
    <t>M Parker</t>
  </si>
  <si>
    <t>M Parker|2026-07-02</t>
  </si>
  <si>
    <t>M Parker|2026-07-03</t>
  </si>
  <si>
    <t>M Parker|2026-07-04</t>
  </si>
  <si>
    <t>M Parker|2026-07-05</t>
  </si>
  <si>
    <t>M Parker|2026-07-06</t>
  </si>
  <si>
    <t>M Parker|2026-07-07</t>
  </si>
  <si>
    <t>402981</t>
  </si>
  <si>
    <t>Royal College of Surgeons</t>
  </si>
  <si>
    <t>Worked: 1 record(s) | Branch: Thurrock | Role: Operative Porter | Jobs: 402981 | Customers: Royal College of Surgeons | Hours: 10.0</t>
  </si>
  <si>
    <t>M Parker|2026-07-08</t>
  </si>
  <si>
    <t>M Parker|2026-07-09</t>
  </si>
  <si>
    <t>M Parker|2026-07-10</t>
  </si>
  <si>
    <t>M Parker|2026-07-14</t>
  </si>
  <si>
    <t>M Parker|2026-07-15</t>
  </si>
  <si>
    <t>M Rafferty|2026-07-01</t>
  </si>
  <si>
    <t>M Rafferty</t>
  </si>
  <si>
    <t>M Rafferty|2026-07-02</t>
  </si>
  <si>
    <t>M Rafferty|2026-07-07</t>
  </si>
  <si>
    <t>Worked: 1 record(s) | Branch: Thurrock | Role: Operative Skilled | Jobs: 402981 | Customers: Royal College of Surgeons | Hours: 15.0</t>
  </si>
  <si>
    <t>M Rafferty|2026-07-08</t>
  </si>
  <si>
    <t>Worked: 1 record(s) | Branch: Thurrock | Role: Operative Skilled | Jobs: 402981 | Customers: Royal College of Surgeons | Hours: 11.0</t>
  </si>
  <si>
    <t>M Rafferty|2026-07-09</t>
  </si>
  <si>
    <t>Worked: 1 record(s) | Branch: Thurrock | Role: Operative Porter | Jobs: 403311 | Customers: Haringey Council | Hours: 8.2</t>
  </si>
  <si>
    <t>M Rafferty|2026-07-14</t>
  </si>
  <si>
    <t>M Rafferty|2026-07-15</t>
  </si>
  <si>
    <t>Worked: 1 record(s) | Branch: Thurrock | Role: Operative Porter | Jobs: 401992A | Customers: The Bible Society | Hours: 8.5</t>
  </si>
  <si>
    <t>M. Musadik Ali (B) EV|2026-07-01</t>
  </si>
  <si>
    <t>M. Musadik Ali (B) EV</t>
  </si>
  <si>
    <t>Worked: 1 record(s) | Branch: Thurrock | Role: Operative Driver | Jobs: 403163 | Customers: University of Hertfordshire | Hours: 8.0</t>
  </si>
  <si>
    <t>M. Musadik Ali (B) EV|2026-07-02</t>
  </si>
  <si>
    <t>Worked: 1 record(s) | Branch: Thurrock | Role: Operative Driver | Jobs: 403096 | Customers: London Borough of Lambeth | Hours: 7.0</t>
  </si>
  <si>
    <t>M. Musadik Ali (B) EV|2026-07-07</t>
  </si>
  <si>
    <t>Worked: 1 record(s) | Branch: Thurrock | Role: Operative Porter | Jobs: 402981 | Customers: Royal College of Surgeons | Hours: 15.0</t>
  </si>
  <si>
    <t>M. Musadik Ali (B) EV|2026-07-08</t>
  </si>
  <si>
    <t>Worked: 1 record(s) | Branch: Thurrock | Role: Operative Driver | Jobs: 402981 | Customers: Royal College of Surgeons | Hours: 11.0</t>
  </si>
  <si>
    <t>M. Musadik Ali (B) EV|2026-07-09</t>
  </si>
  <si>
    <t>Worked: 1 record(s) | Branch: Thurrock | Role: Operative Driver | Jobs: 402929 | Customers: Cadwalader Wickersham &amp; Taft LLP | Hours: 7.5</t>
  </si>
  <si>
    <t>M. Musadik Ali (B) EV|2026-07-13</t>
  </si>
  <si>
    <t>M. Musadik Ali (B) EV|2026-07-14</t>
  </si>
  <si>
    <t>Worked: 1 record(s) | Branch: Cambridge | Role: Operative Driver | Jobs: 400580 | Customers: ALPHATECH (UNI CAMBS) | Hours: 8.0</t>
  </si>
  <si>
    <t>M. Musadik Ali (B) EV|2026-07-15</t>
  </si>
  <si>
    <t>Worked: 1 record(s) | Branch: Thurrock | Role: Operative Driver | Jobs: 401992A | Customers: The Bible Society | Hours: 8.5</t>
  </si>
  <si>
    <t>Maalik Duffus|2026-07-02</t>
  </si>
  <si>
    <t>Maalik Duffus</t>
  </si>
  <si>
    <t>Worked: 1 record(s) | Branch: Birmingham | Role: Operative Porter | Jobs: 403133 | Customers: THE MULBERRY BUSH ORGANISATION LTD | Hours: 10.5</t>
  </si>
  <si>
    <t>Maalik Duffus|2026-07-03</t>
  </si>
  <si>
    <t>Worked: 1 record(s) | Branch: Birmingham | Role: Operative Porter | Jobs: 403133 | Customers: THE MULBERRY BUSH ORGANISATION LTD | Hours: 9.0</t>
  </si>
  <si>
    <t>Maalik Duffus|2026-07-06</t>
  </si>
  <si>
    <t>Worked: 1 record(s) | Branch: Birmingham | Role: Operative Skilled | Jobs: 403133 | Customers: THE MULBERRY BUSH ORGANISATION LTD | Hours: 10.0</t>
  </si>
  <si>
    <t>Maalik Duffus|2026-07-07</t>
  </si>
  <si>
    <t>Worked: 1 record(s) | Branch: Birmingham | Role: Operative Skilled | Jobs: 403133 | Customers: THE MULBERRY BUSH ORGANISATION LTD | Hours: 8.5</t>
  </si>
  <si>
    <t>Maalik Duffus|2026-07-08</t>
  </si>
  <si>
    <t>Worked: 1 record(s) | Branch: Birmingham | Role: Operative Porter | Jobs: 403133 | Customers: THE MULBERRY BUSH ORGANISATION LTD | Hours: 9.5</t>
  </si>
  <si>
    <t>Maalik Duffus|2026-07-09</t>
  </si>
  <si>
    <t>402977</t>
  </si>
  <si>
    <t>The Mulberry Bush Third Space</t>
  </si>
  <si>
    <t>Worked: 1 record(s) | Branch: Birmingham | Role: Operative Porter | Jobs: 402977 | Customers: The Mulberry Bush Third Space | Hours: 10.0</t>
  </si>
  <si>
    <t>Maalik Duffus|2026-07-13</t>
  </si>
  <si>
    <t>Worked: 1 record(s) | Branch: Birmingham | Role: Operative Porter | Jobs: 401198 | Customers: The Open University | Hours: 6.5</t>
  </si>
  <si>
    <t>Maalik Duffus|2026-07-14</t>
  </si>
  <si>
    <t>Worked: 1 record(s) | Branch: Birmingham | Role: Operative Porter | Jobs: 401198 | Customers: The Open University | Hours: 8.5</t>
  </si>
  <si>
    <t>Maalik Duffus|2026-07-15</t>
  </si>
  <si>
    <t>Mark Hubble|2026-07-04</t>
  </si>
  <si>
    <t>Mark Hubble</t>
  </si>
  <si>
    <t>Worked: 1 record(s) | Branch: Cambridge | Role: Operative Driver | Jobs: 402791 | Customers: Anglia Ruskin University | Hours: 6.0</t>
  </si>
  <si>
    <t>Matthew Spinks|2026-07-01</t>
  </si>
  <si>
    <t>Matthew Spinks</t>
  </si>
  <si>
    <t>Worked: 1 record(s) | Branch: Cambridge | Role: Operative Driver | Jobs: 403004 | Customers: Avantor ( CAMBRIDGE JULY  2026 ) | Hours: 4.0</t>
  </si>
  <si>
    <t>Matthew Spinks|2026-07-02</t>
  </si>
  <si>
    <t>Worked: 1 record(s) | Branch: Cambridge | Role: Operative Driver | Jobs: 402717 | Customers: Anglia Ruskin University | Hours: 8.5</t>
  </si>
  <si>
    <t>Matthew Spinks|2026-07-03</t>
  </si>
  <si>
    <t>Matthew Spinks|2026-07-06</t>
  </si>
  <si>
    <t>Matthew Spinks|2026-07-07</t>
  </si>
  <si>
    <t>Worked: 2 record(s) | Branch: Cambridge, Oxford | Role: Operative Driver | Jobs: 389934, 403316 | Customers: Harrow Green Cambridge M/W use only; Lubricants UK Ltd | Hours: 18.0</t>
  </si>
  <si>
    <t>Matthew Spinks|2026-07-10</t>
  </si>
  <si>
    <t>Worked: 1 record(s) | Branch: Cambridge | Role: Operative Driver | Jobs: 403004 | Customers: Avantor ( CAMBRIDGE JULY  2026 ) | Hours: 7.5</t>
  </si>
  <si>
    <t>Michael Carney|2026-07-01</t>
  </si>
  <si>
    <t>Michael Carney</t>
  </si>
  <si>
    <t>Michael Carney|2026-07-02</t>
  </si>
  <si>
    <t>396008</t>
  </si>
  <si>
    <t>HSBC - Branch Audits (1)</t>
  </si>
  <si>
    <t>Worked: 1 record(s) | Branch: Birmingham | Role: Operative Porter | Jobs: 396008 | Customers: HSBC - Branch Audits (1) | Hours: 8.5</t>
  </si>
  <si>
    <t>Michael Carney|2026-07-10</t>
  </si>
  <si>
    <t>Worked: 1 record(s) | Branch: Manchester | Role: Operative Porter | Jobs: 403000 | Customers: Lancashire Police | Hours: 6.8</t>
  </si>
  <si>
    <t>Michael Carney|2026-07-13</t>
  </si>
  <si>
    <t>Worked: 1 record(s) | Branch: Manchester | Role: Operative Porter | Jobs: 403229 | Customers: NHS SBS - Clatterbridge Hospital | Hours: 1.2</t>
  </si>
  <si>
    <t>Michael Carney|2026-07-14</t>
  </si>
  <si>
    <t>Michael Carney|2026-07-15</t>
  </si>
  <si>
    <t>Leeds, Manchester</t>
  </si>
  <si>
    <t>398549, 403242</t>
  </si>
  <si>
    <t>MOJ (Sodexo) SR:61036; Wakefield Council - Upton Primary School</t>
  </si>
  <si>
    <t>Worked: 2 record(s) | Branch: Leeds, Manchester | Role: Operative Porter | Jobs: 398549, 403242 | Customers: MOJ (Sodexo) SR:61036; Wakefield Council - Upton Primary School | Hours: 13.4</t>
  </si>
  <si>
    <t>Michael Carney|2026-07-16</t>
  </si>
  <si>
    <t>398257</t>
  </si>
  <si>
    <t>Worked: 1 record(s) | Branch: Manchester | Role: Operative Porter | Jobs: 398257 | Customers: Lancashire Police | Hours: 4.5</t>
  </si>
  <si>
    <t>Michael Churchman|2026-07-01</t>
  </si>
  <si>
    <t>Michael Churchman</t>
  </si>
  <si>
    <t>Michael Churchman|2026-07-02</t>
  </si>
  <si>
    <t>Michael Churchman|2026-07-03</t>
  </si>
  <si>
    <t>Michael Churchman|2026-07-06</t>
  </si>
  <si>
    <t>Michael Churchman|2026-07-07</t>
  </si>
  <si>
    <t>Michael Churchman|2026-07-10</t>
  </si>
  <si>
    <t>Mike Booth|2026-07-08</t>
  </si>
  <si>
    <t>Mike Booth</t>
  </si>
  <si>
    <t>Mike Booth|2026-07-09</t>
  </si>
  <si>
    <t>Worked: 1 record(s) | Branch: Manchester | Role: Operative Driver | Jobs: 403371 | Customers: CTVC Ltd | Hours: 6.5</t>
  </si>
  <si>
    <t>Mike Booth|2026-07-10</t>
  </si>
  <si>
    <t>Worked: 1 record(s) | Branch: Manchester | Role: Operative Driver | Jobs: 403000 | Customers: Lancashire Police | Hours: 6.8</t>
  </si>
  <si>
    <t>Mike Booth|2026-07-13</t>
  </si>
  <si>
    <t>Worked: 1 record(s) | Branch: Leeds | Role: Operative Driver | Jobs: 403340 | Customers: Kirklees Council - Domestic | Hours: 6.5</t>
  </si>
  <si>
    <t>Mike Booth|2026-07-14</t>
  </si>
  <si>
    <t>Worked: 1 record(s) | Branch: Cambridge | Role: Operative Driver | Jobs: 403004D | Customers: Avantor (MANCHESTER  JULY  2026 ) | Hours: 9.5</t>
  </si>
  <si>
    <t>Mike Booth|2026-07-15</t>
  </si>
  <si>
    <t>Worked: 1 record(s) | Branch: Leeds | Role: Operative Driver | Jobs: 398549 | Customers: Wakefield Council - Upton Primary School | Hours: 8.5</t>
  </si>
  <si>
    <t>Mike Booth|2026-07-16</t>
  </si>
  <si>
    <t>Worked: 1 record(s) | Branch: Manchester | Role: Operative Driver | Jobs: 398257 | Customers: Lancashire Police | Hours: 4.5</t>
  </si>
  <si>
    <t>Mohamed Musa|2026-07-01</t>
  </si>
  <si>
    <t>Mohamed Musa</t>
  </si>
  <si>
    <t>403128, 403129</t>
  </si>
  <si>
    <t>HM Revenue &amp; Customs; T Rowe Price International</t>
  </si>
  <si>
    <t>Worked: 2 record(s) | Branch: Thurrock | Role: Operative Porter | Jobs: 403128, 403129 | Customers: HM Revenue &amp; Customs; T Rowe Price International | Hours: 8.0</t>
  </si>
  <si>
    <t>Mohamed Musa|2026-07-06</t>
  </si>
  <si>
    <t>Worked: 1 record(s) | Branch: Thurrock | Role: Operative Porter | Jobs: 396800 | Customers: Lazri/Mrs Elsa | Hours: 8.0</t>
  </si>
  <si>
    <t>Mohamed Musa|2026-07-07</t>
  </si>
  <si>
    <t>Mohamed Musa|2026-07-08</t>
  </si>
  <si>
    <t>Mohamed Musa|2026-07-13</t>
  </si>
  <si>
    <t>403384</t>
  </si>
  <si>
    <t>London Metropolitan University</t>
  </si>
  <si>
    <t>Worked: 1 record(s) | Branch: Thurrock | Role: Operative Porter | Jobs: 403384 | Customers: London Metropolitan University | Hours: 8.5</t>
  </si>
  <si>
    <t>Mohamed Musa|2026-07-14</t>
  </si>
  <si>
    <t>Mohamed Musa|2026-07-15</t>
  </si>
  <si>
    <t>N Adesanya|2026-07-01</t>
  </si>
  <si>
    <t>N Adesanya</t>
  </si>
  <si>
    <t>N Adesanya|2026-07-02</t>
  </si>
  <si>
    <t>N Adesanya|2026-07-06</t>
  </si>
  <si>
    <t>Worked: 1 record(s) | Branch: Thurrock | Role: Operative Porter | Jobs: 403087 | Customers: Heywood/Ms Theresa | Hours: 9.0</t>
  </si>
  <si>
    <t>N Adesanya|2026-07-07</t>
  </si>
  <si>
    <t>N Adesanya|2026-07-08</t>
  </si>
  <si>
    <t>N Adesanya|2026-07-15</t>
  </si>
  <si>
    <t>N Storey|2026-07-01</t>
  </si>
  <si>
    <t>N Storey</t>
  </si>
  <si>
    <t>N Storey|2026-07-03</t>
  </si>
  <si>
    <t>N Storey|2026-07-04</t>
  </si>
  <si>
    <t>N Storey|2026-07-05</t>
  </si>
  <si>
    <t>N Storey|2026-07-06</t>
  </si>
  <si>
    <t>N Storey|2026-07-07</t>
  </si>
  <si>
    <t>402971</t>
  </si>
  <si>
    <t>Rometelli/Mr Bruno</t>
  </si>
  <si>
    <t>Worked: 1 record(s) | Branch: Thurrock | Role: Operative Skilled | Jobs: 402971 | Customers: Rometelli/Mr Bruno | Hours: 8.5</t>
  </si>
  <si>
    <t>N Storey|2026-07-08</t>
  </si>
  <si>
    <t>N Storey|2026-07-09</t>
  </si>
  <si>
    <t>N Storey|2026-07-10</t>
  </si>
  <si>
    <t>403150, 403368</t>
  </si>
  <si>
    <t>Bloomberg; Knotel UK Ltd</t>
  </si>
  <si>
    <t>Worked: 2 record(s) | Branch: Thurrock | Role: Operative Porter, Operative Skilled | Jobs: 403150, 403368 | Customers: Bloomberg; Knotel UK Ltd | Hours: 14.5</t>
  </si>
  <si>
    <t>N Storey|2026-07-13</t>
  </si>
  <si>
    <t>N Storey|2026-07-14</t>
  </si>
  <si>
    <t>N Storey|2026-07-15</t>
  </si>
  <si>
    <t>Nathan Moore|2026-07-01</t>
  </si>
  <si>
    <t>Nathan Moore</t>
  </si>
  <si>
    <t>402927</t>
  </si>
  <si>
    <t>New College Lanarkshire</t>
  </si>
  <si>
    <t>Worked: 1 record(s) | Branch: Glasgow | Role: Operative Skilled | Jobs: 402927 | Customers: New College Lanarkshire | Hours: 8.0</t>
  </si>
  <si>
    <t>Nathan Moore|2026-07-02</t>
  </si>
  <si>
    <t>403113</t>
  </si>
  <si>
    <t>RHG Store</t>
  </si>
  <si>
    <t>Worked: 1 record(s) | Branch: Glasgow | Role: Operative Porter | Jobs: 403113 | Customers: RHG Store | Hours: 8.0</t>
  </si>
  <si>
    <t>Nathan Moore|2026-07-03</t>
  </si>
  <si>
    <t>403171</t>
  </si>
  <si>
    <t>Worked: 1 record(s) | Branch: Glasgow | Role: Operative Porter | Jobs: 403171 | Customers: RHG Store | Hours: 5.0</t>
  </si>
  <si>
    <t>Nathan Moore|2026-07-07</t>
  </si>
  <si>
    <t>Nathan Moore|2026-07-08</t>
  </si>
  <si>
    <t>Nathan Moore|2026-07-09</t>
  </si>
  <si>
    <t>Nathan Moore|2026-07-10</t>
  </si>
  <si>
    <t>403174</t>
  </si>
  <si>
    <t>Worked: 1 record(s) | Branch: Glasgow | Role: Operative Driver | Jobs: 403174 | Customers: South Lanarkshire Council | Hours: 8.0</t>
  </si>
  <si>
    <t>Nathan Moore|2026-07-13</t>
  </si>
  <si>
    <t>Nathan Moore|2026-07-14</t>
  </si>
  <si>
    <t>Nathan Moore|2026-07-15</t>
  </si>
  <si>
    <t>403027</t>
  </si>
  <si>
    <t>HSBC - Branch Audits (2)</t>
  </si>
  <si>
    <t>Worked: 1 record(s) | Branch: Birmingham | Role: Operative Skilled | Jobs: 403027 | Customers: HSBC - Branch Audits (2) | Hours: 10.0</t>
  </si>
  <si>
    <t>Nathan Pavely|2026-07-06</t>
  </si>
  <si>
    <t>Nathan Pavely</t>
  </si>
  <si>
    <t>402601</t>
  </si>
  <si>
    <t>Recursion</t>
  </si>
  <si>
    <t>Worked: 1 record(s) | Branch: Oxford | Role: Operative Skilled | Jobs: 402601 | Customers: Recursion | Hours: 7.3</t>
  </si>
  <si>
    <t>Nathan Pavely|2026-07-07</t>
  </si>
  <si>
    <t>Worked: 1 record(s) | Branch: Oxford | Role: Operative Driver | Jobs: 389934 | Customers: Lubricants UK Ltd | Hours: 8.5</t>
  </si>
  <si>
    <t>Nathan Pavely|2026-07-09</t>
  </si>
  <si>
    <t>Nathan Pavely|2026-07-10</t>
  </si>
  <si>
    <t>Worked: 1 record(s) | Branch: Oxford | Role: Operative Skilled | Jobs: 402781 | Customers: Evotec | Hours: 6.3</t>
  </si>
  <si>
    <t>Nathan Pavely|2026-07-13</t>
  </si>
  <si>
    <t>403409</t>
  </si>
  <si>
    <t>Vertex Pharmaceuticals Limited</t>
  </si>
  <si>
    <t>Worked: 1 record(s) | Branch: Oxford | Role: Operative Driver | Jobs: 403409 | Customers: Vertex Pharmaceuticals Limited | Hours: 7.0</t>
  </si>
  <si>
    <t>Nathan Pavely|2026-07-14</t>
  </si>
  <si>
    <t>Nathan Pavely|2026-07-15</t>
  </si>
  <si>
    <t>Operative Driver, Operative Skilled</t>
  </si>
  <si>
    <t>Worked: 2 record(s) | Branch: Oxford | Role: Operative Driver, Operative Skilled | Jobs: 402446, 403473 | Customers: Evox Therapeutics; Vertex Pharmaceuticals Limited | Hours: 6.3</t>
  </si>
  <si>
    <t>O Myton|2026-07-01</t>
  </si>
  <si>
    <t>O Myton</t>
  </si>
  <si>
    <t>O Myton|2026-07-05</t>
  </si>
  <si>
    <t>O Myton|2026-07-06</t>
  </si>
  <si>
    <t>O Myton|2026-07-07</t>
  </si>
  <si>
    <t>O Myton|2026-07-08</t>
  </si>
  <si>
    <t>O Myton|2026-07-09</t>
  </si>
  <si>
    <t>O Myton|2026-07-10</t>
  </si>
  <si>
    <t>402883, 403315</t>
  </si>
  <si>
    <t>Worked: 2 record(s) | Branch: Thurrock | Role: Operative Porter, Operative Skilled | Jobs: 402883, 403315 | Customers: Bank of America Merrill Lynch | Hours: 15.0</t>
  </si>
  <si>
    <t>O Myton|2026-07-11</t>
  </si>
  <si>
    <t>O Myton|2026-07-13</t>
  </si>
  <si>
    <t>O Myton|2026-07-14</t>
  </si>
  <si>
    <t>O Myton|2026-07-15</t>
  </si>
  <si>
    <t>P McDavid|2026-07-01</t>
  </si>
  <si>
    <t>P McDavid</t>
  </si>
  <si>
    <t>P McDavid|2026-07-02</t>
  </si>
  <si>
    <t>P McDavid|2026-07-06</t>
  </si>
  <si>
    <t>P McDavid|2026-07-07</t>
  </si>
  <si>
    <t>P McDavid|2026-07-09</t>
  </si>
  <si>
    <t>P McDavid|2026-07-13</t>
  </si>
  <si>
    <t>P McDavid|2026-07-14</t>
  </si>
  <si>
    <t>P Middleton|2026-07-01</t>
  </si>
  <si>
    <t>P Middleton</t>
  </si>
  <si>
    <t>P Middleton|2026-07-02</t>
  </si>
  <si>
    <t>Worked: 1 record(s) | Branch: Thurrock | Role: Operative Skilled | Jobs: 401175 | Customers: Hogan Lovells LLP | Hours: 9.5</t>
  </si>
  <si>
    <t>P Middleton|2026-07-03</t>
  </si>
  <si>
    <t>P Ridge|2026-07-01</t>
  </si>
  <si>
    <t>P Ridge</t>
  </si>
  <si>
    <t>Unpaid Parental Leave</t>
  </si>
  <si>
    <t>Leave: Unpaid Parental Leave</t>
  </si>
  <si>
    <t>P Ridge|2026-07-02</t>
  </si>
  <si>
    <t>P Ridge|2026-07-03</t>
  </si>
  <si>
    <t>Paul Barker (C)|2026-07-01</t>
  </si>
  <si>
    <t>Paul Barker (C)</t>
  </si>
  <si>
    <t>Worked: 1 record(s) | Branch: Thurrock | Role: Operative Driver | Jobs: 401494 | Customers: Susquehanna International Group (SIG) | Hours: 9.0</t>
  </si>
  <si>
    <t>Paul Barker (C)|2026-07-02</t>
  </si>
  <si>
    <t>Worked: 1 record(s) | Branch: Thurrock | Role: Operative Driver | Jobs: 401494 | Customers: Susquehanna International Group (SIG) | Hours: 7.2</t>
  </si>
  <si>
    <t>Paul Barker (C)|2026-07-03</t>
  </si>
  <si>
    <t>403033</t>
  </si>
  <si>
    <t>Moody's Corporation/JLL</t>
  </si>
  <si>
    <t>Worked: 1 record(s) | Branch: Thurrock | Role: Operative Driver | Jobs: 403033 | Customers: Moody's Corporation/JLL | Hours: 6.5</t>
  </si>
  <si>
    <t>Paul Barker (C)|2026-07-06</t>
  </si>
  <si>
    <t>Worked: 1 record(s) | Branch: Thurrock | Role: Operative Driver | Jobs: 402982 | Customers: Smith/Ms Cerita | Hours: 9.0</t>
  </si>
  <si>
    <t>Paul Barker (C)|2026-07-07</t>
  </si>
  <si>
    <t>Worked: 1 record(s) | Branch: Thurrock | Role: Operative Driver | Jobs: 403068 | Customers: LRE Capital | Hours: 7.0</t>
  </si>
  <si>
    <t>Paul Barker (C)|2026-07-08</t>
  </si>
  <si>
    <t>Worked: 1 record(s) | Branch: Thurrock | Role: Operative Driver | Jobs: 399620 | Customers: Accenture UK Ltd | Hours: 7.0</t>
  </si>
  <si>
    <t>Paul Barker (C)|2026-07-09</t>
  </si>
  <si>
    <t>Paul Barker (C)|2026-07-13</t>
  </si>
  <si>
    <t>Worked: 1 record(s) | Branch: Thurrock | Role: Operative Driver | Jobs: 403068 | Customers: LRE Capital | Hours: 1.0</t>
  </si>
  <si>
    <t>Paul Barker (C)|2026-07-14</t>
  </si>
  <si>
    <t>Worked: 1 record(s) | Branch: Thurrock | Role: Operative Driver | Jobs: 400033 | Customers: Ministry of Defence | Hours: 7.0</t>
  </si>
  <si>
    <t>Paul Barker (C)|2026-07-15</t>
  </si>
  <si>
    <t>Worked: 1 record(s) | Branch: Thurrock | Role: Operative Driver | Jobs: 400033 | Customers: Ministry of Defence | Hours: 8.0</t>
  </si>
  <si>
    <t>Paul Sibbick|2026-07-06</t>
  </si>
  <si>
    <t>Paul Sibbick</t>
  </si>
  <si>
    <t>Worked: 1 record(s) | Branch: Glasgow | Role: Operative Porter | Jobs: 392549 | Customers: NHS GG&amp;C | Hours: 7.5</t>
  </si>
  <si>
    <t>Paul Sibbick|2026-07-08</t>
  </si>
  <si>
    <t>Paul Sibbick|2026-07-09</t>
  </si>
  <si>
    <t>Worked: 1 record(s) | Branch: Leeds | Role: Operative Porter | Jobs: 402822 | Customers: EMCOR - OCS FM Ltd | Hours: 6.2</t>
  </si>
  <si>
    <t>Paul Sibbick|2026-07-10</t>
  </si>
  <si>
    <t>Worked: 1 record(s) | Branch: Leeds | Role: Operative Skilled | Jobs: 402822 | Customers: EMCOR - OCS FM Ltd | Hours: 5.0</t>
  </si>
  <si>
    <t>Paul Sibbick|2026-07-11</t>
  </si>
  <si>
    <t>Worked: 1 record(s) | Branch: Leeds | Role: Operative Skilled | Jobs: 402822 | Customers: EMCOR - OCS FM Ltd | Hours: 7.0</t>
  </si>
  <si>
    <t>Paul Sibbick|2026-07-12</t>
  </si>
  <si>
    <t>Worked: 1 record(s) | Branch: Leeds | Role: Operative Skilled | Jobs: 402822 | Customers: EMCOR - OCS FM Ltd | Hours: 6.0</t>
  </si>
  <si>
    <t>Paul Sibbick|2026-07-13</t>
  </si>
  <si>
    <t>401226, 401883</t>
  </si>
  <si>
    <t>Kirklees Council - Mr Ford; University of Leeds</t>
  </si>
  <si>
    <t>Worked: 2 record(s) | Branch: Leeds | Role: Operative Porter | Jobs: 401226, 401883 | Customers: Kirklees Council - Mr Ford; University of Leeds | Hours: 11.0</t>
  </si>
  <si>
    <t>Paul Sibbick|2026-07-14</t>
  </si>
  <si>
    <t>Worked: 1 record(s) | Branch: Leeds | Role: Operative Porter | Jobs: 402478 | Customers: West Yorkshire Police (Huddersfield) | Hours: 6.5</t>
  </si>
  <si>
    <t>Paul Sibbick|2026-07-15</t>
  </si>
  <si>
    <t>Worked: 2 record(s) | Branch: Leeds | Role: Operative Porter, Operative Skilled | Jobs: 398549 | Customers: Wakefield Council - Upton Primary School | Hours: 10.5</t>
  </si>
  <si>
    <t>Paul Snowden|2026-07-02</t>
  </si>
  <si>
    <t>Paul Snowden</t>
  </si>
  <si>
    <t>401813</t>
  </si>
  <si>
    <t>Kirklees Council - Mr Best</t>
  </si>
  <si>
    <t>Worked: 1 record(s) | Branch: Leeds | Role: Operative Driver | Jobs: 401813 | Customers: Kirklees Council - Mr Best | Hours: 4.5</t>
  </si>
  <si>
    <t>Paul Snowden|2026-07-03</t>
  </si>
  <si>
    <t>402771</t>
  </si>
  <si>
    <t>Summer Schools - Kirklees</t>
  </si>
  <si>
    <t>Worked: 1 record(s) | Branch: Leeds | Role: Operative Driver | Jobs: 402771 | Customers: Summer Schools - Kirklees | Hours: 8.0</t>
  </si>
  <si>
    <t>Paul Snowden|2026-07-06</t>
  </si>
  <si>
    <t>Worked: 2 record(s) | Branch: Leeds | Role: Operative Driver | Jobs: 401226, 402771 | Customers: Summer Schools - Kirklees; University of Leeds | Hours: 9.0</t>
  </si>
  <si>
    <t>Paul Snowden|2026-07-07</t>
  </si>
  <si>
    <t>Worked: 1 record(s) | Branch: Leeds | Role: Operative Driver | Jobs: 402901 | Customers: Kirklees Council - Miss Hanley | Hours: 8.5</t>
  </si>
  <si>
    <t>Paul Snowden|2026-07-08</t>
  </si>
  <si>
    <t>Worked: 1 record(s) | Branch: Leeds | Role: Operative Driver | Jobs: 402723 | Customers: Newcastle University | Hours: 11.5</t>
  </si>
  <si>
    <t>Paul Snowden|2026-07-09</t>
  </si>
  <si>
    <t>Worked: 1 record(s) | Branch: Birmingham | Role: Operative Driver | Jobs: 403046 | Customers: HSBC - July 2026 Deliveries | Hours: 6.2</t>
  </si>
  <si>
    <t>Paul Snowden|2026-07-10</t>
  </si>
  <si>
    <t>Worked: 1 record(s) | Branch: Birmingham | Role: Operative Driver | Jobs: 403046 | Customers: HSBC - July 2026 Deliveries | Hours: 9.8</t>
  </si>
  <si>
    <t>Paul Snowden|2026-07-11</t>
  </si>
  <si>
    <t>Paul Snowden|2026-07-13</t>
  </si>
  <si>
    <t>Worked: 2 record(s) | Branch: Leeds | Role: Operative Driver | Jobs: 401226, 401883 | Customers: Kirklees Council - Mr Ford; University of Leeds | Hours: 11.0</t>
  </si>
  <si>
    <t>Paul Snowden|2026-07-14</t>
  </si>
  <si>
    <t>Worked: 1 record(s) | Branch: Leeds | Role: Operative Driver | Jobs: 402478 | Customers: West Yorkshire Police (Huddersfield) | Hours: 6.5</t>
  </si>
  <si>
    <t>Paul Snowden|2026-07-15</t>
  </si>
  <si>
    <t>Peter Buckley|2026-07-01</t>
  </si>
  <si>
    <t>Peter Buckley</t>
  </si>
  <si>
    <t>Worked: 1 record(s) | Branch: Birmingham | Role: Operative Porter | Jobs: 402403 | Customers: Worcester Health &amp; Care NHS Trust | Hours: 8.0</t>
  </si>
  <si>
    <t>Peter Buckley|2026-07-02</t>
  </si>
  <si>
    <t>Worked: 2 record(s) | Branch: Birmingham | Role: Operative Porter, Operative Skilled | Jobs: 401354, 402939 | Customers: Juno Genetics Ltd; University Hospitals of Leicester NHS Trust | Hours: 9.0</t>
  </si>
  <si>
    <t>Peter Buckley|2026-07-03</t>
  </si>
  <si>
    <t>Worked: 1 record(s) | Branch: Birmingham | Role: Operative Skilled | Jobs: 401084 | Customers: Total System Services Processing Europe Ltd | Hours: 9.0</t>
  </si>
  <si>
    <t>Peter Buckley|2026-07-06</t>
  </si>
  <si>
    <t>Peter Buckley|2026-07-07</t>
  </si>
  <si>
    <t>Peter Buckley|2026-07-08</t>
  </si>
  <si>
    <t>Worked: 1 record(s) | Branch: Birmingham | Role: Operative Skilled | Jobs: 401198 | Customers: The Open University | Hours: 9.0</t>
  </si>
  <si>
    <t>Peter Buckley|2026-07-09</t>
  </si>
  <si>
    <t>Peter Buckley|2026-07-10</t>
  </si>
  <si>
    <t>Worked: 1 record(s) | Branch: Birmingham | Role: Operative Skilled | Jobs: 402994 | Customers: Canal &amp; River Trust | Hours: 7.5</t>
  </si>
  <si>
    <t>Peter Buckley|2026-07-13</t>
  </si>
  <si>
    <t>Worked: 1 record(s) | Branch: Birmingham | Role: Operative Skilled | Jobs: 402994 | Customers: Canal &amp; River Trust | Hours: 6.8</t>
  </si>
  <si>
    <t>Peter Buckley|2026-07-14</t>
  </si>
  <si>
    <t>389259</t>
  </si>
  <si>
    <t>Buxton Museum and Art Gallery</t>
  </si>
  <si>
    <t>Worked: 1 record(s) | Branch: Birmingham | Role: Operative Skilled | Jobs: 389259 | Customers: Buxton Museum and Art Gallery | Hours: 7.0</t>
  </si>
  <si>
    <t>Peter Buckley|2026-07-15</t>
  </si>
  <si>
    <t>Worked: 1 record(s) | Branch: Birmingham | Role: Operative Skilled | Jobs: 389259 | Customers: Buxton Museum and Art Gallery | Hours: 8.0</t>
  </si>
  <si>
    <t>R Chohan (B)|2026-07-01</t>
  </si>
  <si>
    <t>R Chohan (B)</t>
  </si>
  <si>
    <t>R Chohan (B)|2026-07-02</t>
  </si>
  <si>
    <t>R Chohan (B)|2026-07-03</t>
  </si>
  <si>
    <t>R Chohan (B)|2026-07-04</t>
  </si>
  <si>
    <t>R Chohan (B)|2026-07-05</t>
  </si>
  <si>
    <t>R Chohan (B)|2026-07-06</t>
  </si>
  <si>
    <t>R Chohan (B)|2026-07-07</t>
  </si>
  <si>
    <t>R Chohan (B)|2026-07-08</t>
  </si>
  <si>
    <t>Worked: 1 record(s) | Branch: Thurrock | Role: Operative Skilled | Jobs: 399620 | Customers: Accenture UK Ltd | Hours: 7.0</t>
  </si>
  <si>
    <t>R Chohan (B)|2026-07-09</t>
  </si>
  <si>
    <t>Worked: 1 record(s) | Branch: Thurrock | Role: Operative Driver | Jobs: 403343 | Customers: Protech Network Solutions | Hours: 6.2</t>
  </si>
  <si>
    <t>R Chohan (B)|2026-07-10</t>
  </si>
  <si>
    <t>403150</t>
  </si>
  <si>
    <t>Knotel UK Ltd</t>
  </si>
  <si>
    <t>Worked: 1 record(s) | Branch: Thurrock | Role: Operative Skilled | Jobs: 403150 | Customers: Knotel UK Ltd | Hours: 8.5</t>
  </si>
  <si>
    <t>R Chohan (B)|2026-07-13</t>
  </si>
  <si>
    <t>Worked: 1 record(s) | Branch: Thurrock | Role: Operative Porter | Jobs: 403343 | Customers: Protech Network Solutions | Hours: 8.5</t>
  </si>
  <si>
    <t>R Chohan (B)|2026-07-14</t>
  </si>
  <si>
    <t>Worked: 1 record(s) | Branch: Thurrock | Role: Operative Skilled | Jobs: 403375 | Customers: Apple Europe Ltd | Hours: 6.5</t>
  </si>
  <si>
    <t>R Henry|2026-07-01</t>
  </si>
  <si>
    <t>R Henry</t>
  </si>
  <si>
    <t>R Henry|2026-07-02</t>
  </si>
  <si>
    <t>R Henry|2026-07-03</t>
  </si>
  <si>
    <t>401175, 403239</t>
  </si>
  <si>
    <t>HSBC - BAU July; Hogan Lovells LLP</t>
  </si>
  <si>
    <t>Worked: 2 record(s) | Branch: Thurrock | Role: Operative Skilled | Jobs: 401175, 403239 | Customers: HSBC - BAU July; Hogan Lovells LLP | Hours: 17.5</t>
  </si>
  <si>
    <t>R Henry|2026-07-04</t>
  </si>
  <si>
    <t>R Henry|2026-07-05</t>
  </si>
  <si>
    <t>R Henry|2026-07-06</t>
  </si>
  <si>
    <t>R Henry|2026-07-07</t>
  </si>
  <si>
    <t>Worked: 1 record(s) | Branch: Thurrock | Role: Operative Skilled | Jobs: 402929 | Customers: Cadwalader Wickersham &amp; Taft LLP | Hours: 8.5</t>
  </si>
  <si>
    <t>R Henry|2026-07-08</t>
  </si>
  <si>
    <t>R Henry|2026-07-09</t>
  </si>
  <si>
    <t>R Henry|2026-07-10</t>
  </si>
  <si>
    <t>R Henry|2026-07-13</t>
  </si>
  <si>
    <t>Worked: 1 record(s) | Branch: Thurrock | Role: Operative Porter | Jobs: 403280 | Customers: Reynolds Colman Bradley LLP | Hours: 4.5</t>
  </si>
  <si>
    <t>R Henry|2026-07-14</t>
  </si>
  <si>
    <t>403435</t>
  </si>
  <si>
    <t>Andrews Sykes Hire Limited</t>
  </si>
  <si>
    <t>Worked: 1 record(s) | Branch: Thurrock | Role: Operative Porter | Jobs: 403435 | Customers: Andrews Sykes Hire Limited | Hours: 8.5</t>
  </si>
  <si>
    <t>R Henry|2026-07-15</t>
  </si>
  <si>
    <t>R Luis (C)|2026-07-01</t>
  </si>
  <si>
    <t>R Luis (C)</t>
  </si>
  <si>
    <t>402058</t>
  </si>
  <si>
    <t>Shawbrook</t>
  </si>
  <si>
    <t>Worked: 1 record(s) | Branch: Thurrock | Role: Operative Driver | Jobs: 402058 | Customers: Shawbrook | Hours: 1.0</t>
  </si>
  <si>
    <t>R Luis (C)|2026-07-02</t>
  </si>
  <si>
    <t>Worked: 1 record(s) | Branch: Croydon | Role: Operative Driver | Jobs: 403094 | Customers: Everyday Lending Ltd T/A Evlo | Hours: 10.5</t>
  </si>
  <si>
    <t>R Luis (C)|2026-07-03</t>
  </si>
  <si>
    <t>Worked: 1 record(s) | Branch: Thurrock | Role: Operative Driver | Jobs: 402379 | Customers: Restore – Doc Management - NWL collections | Hours: 11.0</t>
  </si>
  <si>
    <t>R Luis (C)|2026-07-06</t>
  </si>
  <si>
    <t>Worked: 1 record(s) | Branch: Thurrock | Role: Operative Driver | Jobs: 402379 | Customers: Restore – Doc Management - NWL collections | Hours: 9.0</t>
  </si>
  <si>
    <t>R Luis (C)|2026-07-07</t>
  </si>
  <si>
    <t>Worked: 1 record(s) | Branch: Thurrock | Role: Operative Driver | Jobs: 403219 | Customers: Jurado/Slendy | Hours: 8.5</t>
  </si>
  <si>
    <t>R Luis (C)|2026-07-08</t>
  </si>
  <si>
    <t>Worked: 1 record(s) | Branch: Thurrock | Role: Operative Driver | Jobs: 403219 | Customers: Jurado/Slendy | Hours: 11.0</t>
  </si>
  <si>
    <t>R Luis (C)|2026-07-09</t>
  </si>
  <si>
    <t>Worked: 1 record(s) | Branch: Thurrock | Role: Operative Driver | Jobs: 398126 | Customers: Saunders/Tracey | Hours: 8.5</t>
  </si>
  <si>
    <t>R Luis (C)|2026-07-10</t>
  </si>
  <si>
    <t>R Luis (C)|2026-07-12</t>
  </si>
  <si>
    <t>Worked: 1 record(s) | Branch: Thurrock | Role: Operative Driver | Jobs: 403271 | Customers: Bnp Paribas Limited | Hours: 5.5</t>
  </si>
  <si>
    <t>R Luis (C)|2026-07-13</t>
  </si>
  <si>
    <t>R Luis (C)|2026-07-14</t>
  </si>
  <si>
    <t>R Luis (C)|2026-07-15</t>
  </si>
  <si>
    <t>R Stimson (B)|2026-07-01</t>
  </si>
  <si>
    <t>R Stimson (B)</t>
  </si>
  <si>
    <t>R Stimson (B)|2026-07-03</t>
  </si>
  <si>
    <t>Worked: 1 record(s) | Branch: Thurrock | Role: Operative Porter | Jobs: 403160 | Customers: Bnp Paribas Limited | Hours: 10.0</t>
  </si>
  <si>
    <t>R Stimson (B)|2026-07-04</t>
  </si>
  <si>
    <t>R Stimson (B)|2026-07-05</t>
  </si>
  <si>
    <t>R Stimson (B)|2026-07-06</t>
  </si>
  <si>
    <t>R Stimson (B)|2026-07-07</t>
  </si>
  <si>
    <t>R Stimson (B)|2026-07-08</t>
  </si>
  <si>
    <t>R Stimson (B)|2026-07-10</t>
  </si>
  <si>
    <t>R Stimson (B)|2026-07-11</t>
  </si>
  <si>
    <t>Worked: 1 record(s) | Branch: Thurrock | Role: Operative Skilled | Jobs: 403271 | Customers: Bnp Paribas Limited | Hours: 10.5</t>
  </si>
  <si>
    <t>R Stimson (B)|2026-07-12</t>
  </si>
  <si>
    <t>Worked: 1 record(s) | Branch: Thurrock | Role: Operative Skilled | Jobs: 403271 | Customers: Bnp Paribas Limited | Hours: 5.5</t>
  </si>
  <si>
    <t>R Stimson (B)|2026-07-13</t>
  </si>
  <si>
    <t>R Stimson (B)|2026-07-14</t>
  </si>
  <si>
    <t>R Stimson (B)|2026-07-15</t>
  </si>
  <si>
    <t>R Tuck|2026-07-01</t>
  </si>
  <si>
    <t>R Tuck</t>
  </si>
  <si>
    <t>R Tuck|2026-07-02</t>
  </si>
  <si>
    <t>R Tuck|2026-07-04</t>
  </si>
  <si>
    <t>R Tuck|2026-07-07</t>
  </si>
  <si>
    <t>R Tuck|2026-07-08</t>
  </si>
  <si>
    <t>R Tuck|2026-07-09</t>
  </si>
  <si>
    <t>R Tuck|2026-07-13</t>
  </si>
  <si>
    <t>R Tuck|2026-07-14</t>
  </si>
  <si>
    <t>R Tuck|2026-07-15</t>
  </si>
  <si>
    <t>Randi Wisdom|2026-07-02</t>
  </si>
  <si>
    <t>Randi Wisdom</t>
  </si>
  <si>
    <t>396008, 401369</t>
  </si>
  <si>
    <t>Canal &amp; River Trust; HSBC - Branch Audits (1)</t>
  </si>
  <si>
    <t>Worked: 2 record(s) | Branch: Birmingham | Role: Operative Driver | Jobs: 396008, 401369 | Customers: Canal &amp; River Trust; HSBC - Branch Audits (1) | Hours: 12.5</t>
  </si>
  <si>
    <t>Randi Wisdom|2026-07-03</t>
  </si>
  <si>
    <t>Worked: 2 record(s) | Branch: Birmingham, Leeds | Role: Operative Driver | Jobs: 402634, 403046 | Customers: HSBC - July 2026 Deliveries; Kirklees Council - Mr Crawshaw | Hours: 8.0</t>
  </si>
  <si>
    <t>Randi Wisdom|2026-07-06</t>
  </si>
  <si>
    <t>Worked: 1 record(s) | Branch: Glasgow | Role: Operative Driver | Jobs: 392549 | Customers: NHS GG&amp;C | Hours: 9.0</t>
  </si>
  <si>
    <t>Randi Wisdom|2026-07-07</t>
  </si>
  <si>
    <t>Worked: 1 record(s) | Branch: Glasgow | Role: Operative Driver | Jobs: 392549 | Customers: NHS GG&amp;C | Hours: 8.0</t>
  </si>
  <si>
    <t>Randi Wisdom|2026-07-08</t>
  </si>
  <si>
    <t>Randi Wisdom|2026-07-09</t>
  </si>
  <si>
    <t>Randi Wisdom|2026-07-11</t>
  </si>
  <si>
    <t>Worked: 1 record(s) | Branch: Thurrock | Role: Operative Driver | Jobs: 403222 | Customers: Accenture UK Ltd | Hours: 11.0</t>
  </si>
  <si>
    <t>Randi Wisdom|2026-07-15</t>
  </si>
  <si>
    <t>Ray Ahmed|2026-07-02</t>
  </si>
  <si>
    <t>Ray Ahmed</t>
  </si>
  <si>
    <t>403010</t>
  </si>
  <si>
    <t>Worked: 1 record(s) | Branch: Thurrock | Role: Operative Skilled | Jobs: 403010 | Customers: Haringey Council | Hours: 8.0</t>
  </si>
  <si>
    <t>Ray Ahmed|2026-07-03</t>
  </si>
  <si>
    <t>Ray Ahmed|2026-07-09</t>
  </si>
  <si>
    <t>Ray Ahmed|2026-07-10</t>
  </si>
  <si>
    <t>Robert Moore|2026-07-01</t>
  </si>
  <si>
    <t>Robert Moore</t>
  </si>
  <si>
    <t>Worked: 1 record(s) | Branch: Glasgow | Role: Operative Porter | Jobs: 392549 | Customers: NHS GG&amp;C | Hours: 9.5</t>
  </si>
  <si>
    <t>Robert Moore|2026-07-02</t>
  </si>
  <si>
    <t>Robert Moore|2026-07-03</t>
  </si>
  <si>
    <t>Worked: 1 record(s) | Branch: Glasgow | Role: Operative Driver | Jobs: 403171 | Customers: RHG Store | Hours: 5.0</t>
  </si>
  <si>
    <t>Robert Moore|2026-07-06</t>
  </si>
  <si>
    <t>Robert Moore|2026-07-07</t>
  </si>
  <si>
    <t>Robert Moore|2026-07-08</t>
  </si>
  <si>
    <t>Robert Moore|2026-07-09</t>
  </si>
  <si>
    <t>Robert Moore|2026-07-13</t>
  </si>
  <si>
    <t>Robert Moore|2026-07-14</t>
  </si>
  <si>
    <t>403437</t>
  </si>
  <si>
    <t>Worked: 1 record(s) | Branch: Glasgow | Role: Operative Porter | Jobs: 403437 | Customers: C/O South Lanarkshire Council | Hours: 8.0</t>
  </si>
  <si>
    <t>Robert Moore|2026-07-15</t>
  </si>
  <si>
    <t>403027, 403268</t>
  </si>
  <si>
    <t>HSBC - Branch Audits (2); Scottish Courts and Tribunals Service</t>
  </si>
  <si>
    <t>Worked: 2 record(s) | Branch: Birmingham, Glasgow | Role: Operative Driver, Operative Skilled | Jobs: 403027, 403268 | Customers: HSBC - Branch Audits (2); Scottish Courts and Tribunals Service | Hours: 15.0</t>
  </si>
  <si>
    <t>Ryan Coupe|2026-07-14</t>
  </si>
  <si>
    <t>Ryan Coupe</t>
  </si>
  <si>
    <t>Ryan Coupe|2026-07-15</t>
  </si>
  <si>
    <t>Ryan Coupe|2026-07-16</t>
  </si>
  <si>
    <t>S Bello|2026-07-01</t>
  </si>
  <si>
    <t>S Bello</t>
  </si>
  <si>
    <t>S Bello|2026-07-02</t>
  </si>
  <si>
    <t>S Bello|2026-07-03</t>
  </si>
  <si>
    <t>Worked: 2 record(s) | Branch: Thurrock | Role: Operative Porter, Operative Skilled | Jobs: 401175 | Customers: Hogan Lovells LLP | Hours: 17.0</t>
  </si>
  <si>
    <t>S Bello|2026-07-04</t>
  </si>
  <si>
    <t>S Bello|2026-07-05</t>
  </si>
  <si>
    <t>S Bello|2026-07-06</t>
  </si>
  <si>
    <t>S Bello|2026-07-07</t>
  </si>
  <si>
    <t>Worked: 1 record(s) | Branch: Thurrock | Role: Operative Porter | Jobs: 402971 | Customers: Rometelli/Mr Bruno | Hours: 8.5</t>
  </si>
  <si>
    <t>S Bello|2026-07-08</t>
  </si>
  <si>
    <t>Worked: 1 record(s) | Branch: Thurrock | Role: Operative Porter | Jobs: 402876 | Customers: Bishops | Hours: 7.5</t>
  </si>
  <si>
    <t>S Bello|2026-07-09</t>
  </si>
  <si>
    <t>S Bello|2026-07-10</t>
  </si>
  <si>
    <t>402575, 403315</t>
  </si>
  <si>
    <t>Bank of America Merrill Lynch; Latham &amp; Watkins</t>
  </si>
  <si>
    <t>Worked: 2 record(s) | Branch: Thurrock | Role: Operative Porter | Jobs: 402575, 403315 | Customers: Bank of America Merrill Lynch; Latham &amp; Watkins | Hours: 15.0</t>
  </si>
  <si>
    <t>S Bello|2026-07-11</t>
  </si>
  <si>
    <t>S Bello|2026-07-13</t>
  </si>
  <si>
    <t>S Bello|2026-07-14</t>
  </si>
  <si>
    <t>S Bello|2026-07-15</t>
  </si>
  <si>
    <t>S Danciu (CE)|2026-07-01</t>
  </si>
  <si>
    <t>S Danciu (CE)</t>
  </si>
  <si>
    <t>Worked: 2 record(s) | Branch: Thurrock | Role: Operative Driver | Jobs: 403128, 403129 | Customers: HM Revenue &amp; Customs; T Rowe Price International | Hours: 8.0</t>
  </si>
  <si>
    <t>S Danciu (CE)|2026-07-02</t>
  </si>
  <si>
    <t>Worked: 1 record(s) | Branch: Thurrock | Role: Operative Driver | Jobs: 403096 | Customers: London Borough of Lambeth | Hours: 6.0</t>
  </si>
  <si>
    <t>S Danciu (CE)|2026-07-03</t>
  </si>
  <si>
    <t>403067</t>
  </si>
  <si>
    <t>Umoh/Ms Naomi</t>
  </si>
  <si>
    <t>Worked: 1 record(s) | Branch: Thurrock | Role: Operative Driver | Jobs: 403067 | Customers: Umoh/Ms Naomi | Hours: 7.5</t>
  </si>
  <si>
    <t>S Danciu (CE)|2026-07-04</t>
  </si>
  <si>
    <t>Worked: 1 record(s) | Branch: Thurrock | Role: Operative Driver | Jobs: 402483 | Customers: Accenture UK Ltd | Hours: 5.5</t>
  </si>
  <si>
    <t>S Danciu (CE)|2026-07-06</t>
  </si>
  <si>
    <t>Worked: 1 record(s) | Branch: Thurrock | Role: Operative Driver | Jobs: 401175 | Customers: Hogan Lovells LLP | Hours: 11.5</t>
  </si>
  <si>
    <t>S Danciu (CE)|2026-07-07</t>
  </si>
  <si>
    <t>Worked: 1 record(s) | Branch: Thurrock | Role: Operative Driver | Jobs: 402971 | Customers: Rometelli/Mr Bruno | Hours: 8.5</t>
  </si>
  <si>
    <t>S Danciu (CE)|2026-07-08</t>
  </si>
  <si>
    <t>Worked: 1 record(s) | Branch: Thurrock | Role: Operative Driver | Jobs: 398126 | Customers: Saunders/Tracey | Hours: 9.5</t>
  </si>
  <si>
    <t>S Danciu (CE)|2026-07-09</t>
  </si>
  <si>
    <t>403255</t>
  </si>
  <si>
    <t>Worked: 1 record(s) | Branch: Thurrock | Role: Operative Driver | Jobs: 403255 | Customers: Kings College London | Hours: 6.5</t>
  </si>
  <si>
    <t>S Danciu (CE)|2026-07-10</t>
  </si>
  <si>
    <t>Worked: 1 record(s) | Branch: Thurrock | Role: Operative Driver | Jobs: 402990 | Customers: Adecco Group | Hours: 7.0</t>
  </si>
  <si>
    <t>S Danciu (CE)|2026-07-13</t>
  </si>
  <si>
    <t>402990, 403377, 403435</t>
  </si>
  <si>
    <t>Adecco Group; Andrews Sykes Hire Limited; Bnp Paribas Limited</t>
  </si>
  <si>
    <t>Worked: 3 record(s) | Branch: Thurrock | Role: Operative Driver | Jobs: 402990, 403377, 403435 | Customers: Adecco Group; Andrews Sykes Hire Limited; Bnp Paribas Limited | Hours: 10.5</t>
  </si>
  <si>
    <t>S Danciu (CE)|2026-07-14</t>
  </si>
  <si>
    <t>Worked: 1 record(s) | Branch: Thurrock | Role: Operative Driver | Jobs: 398446 | Customers: Royal Entomological society | Hours: 11.0</t>
  </si>
  <si>
    <t>S Danciu (CE)|2026-07-15</t>
  </si>
  <si>
    <t>Worked: 1 record(s) | Branch: Thurrock | Role: Operative Driver | Jobs: 398446 | Customers: Royal Entomological society | Hours: 10.0</t>
  </si>
  <si>
    <t>S Goodridge|2026-07-01</t>
  </si>
  <si>
    <t>S Goodridge</t>
  </si>
  <si>
    <t>399535B</t>
  </si>
  <si>
    <t>Foreign Commonwealth Office</t>
  </si>
  <si>
    <t>Worked: 1 record(s) | Branch: Thurrock | Role: Operative Porter | Jobs: 399535B | Customers: Foreign Commonwealth Office | Hours: 10.5</t>
  </si>
  <si>
    <t>S Goodridge|2026-07-02</t>
  </si>
  <si>
    <t>S Goodridge|2026-07-04</t>
  </si>
  <si>
    <t>Worked: 1 record(s) | Branch: Thurrock | Role: Operative Porter | Jobs: 401175 | Customers: Hogan Lovells LLP | Hours: 9.0</t>
  </si>
  <si>
    <t>S Goodridge|2026-07-06</t>
  </si>
  <si>
    <t>S Goodridge|2026-07-07</t>
  </si>
  <si>
    <t>S Goodridge|2026-07-08</t>
  </si>
  <si>
    <t>S Goodridge|2026-07-09</t>
  </si>
  <si>
    <t>S Goodridge|2026-07-10</t>
  </si>
  <si>
    <t>S Goodridge|2026-07-13</t>
  </si>
  <si>
    <t>S Goodridge|2026-07-14</t>
  </si>
  <si>
    <t>S Goodridge|2026-07-15</t>
  </si>
  <si>
    <t>S Holroyd|2026-07-01</t>
  </si>
  <si>
    <t>S Holroyd</t>
  </si>
  <si>
    <t>Worked: 1 record(s) | Branch: Croydon | Role: Operative Skilled | Jobs: 399451K | Customers: Royal Borough of Kensington and Chelsea | Hours: 9.0</t>
  </si>
  <si>
    <t>S Holroyd|2026-07-02</t>
  </si>
  <si>
    <t>S Holroyd|2026-07-03</t>
  </si>
  <si>
    <t>S Holroyd|2026-07-04</t>
  </si>
  <si>
    <t>Worked: 1 record(s) | Branch: Croydon | Role: Operative Skilled | Jobs: 402937 | Customers: Hermes Investment Management Ltd | Hours: 7.5</t>
  </si>
  <si>
    <t>S Holroyd|2026-07-13</t>
  </si>
  <si>
    <t>S Holroyd|2026-07-14</t>
  </si>
  <si>
    <t>S Holroyd|2026-07-15</t>
  </si>
  <si>
    <t>Worked: 1 record(s) | Branch: Cambridge | Role: Operative Skilled | Jobs: 403004C | Customers: Avantor ( CROYDON  JULY  2026 ) | Hours: 4.0</t>
  </si>
  <si>
    <t>S Huggins|2026-07-01</t>
  </si>
  <si>
    <t>S Huggins</t>
  </si>
  <si>
    <t>S Huggins|2026-07-02</t>
  </si>
  <si>
    <t>S Huggins|2026-07-03</t>
  </si>
  <si>
    <t>S Huggins|2026-07-04</t>
  </si>
  <si>
    <t>S Huggins|2026-07-05</t>
  </si>
  <si>
    <t>S Huggins|2026-07-08</t>
  </si>
  <si>
    <t>S Huggins|2026-07-09</t>
  </si>
  <si>
    <t>S Huggins|2026-07-10</t>
  </si>
  <si>
    <t>S Huggins|2026-07-13</t>
  </si>
  <si>
    <t>Worked: 1 record(s) | Branch: Thurrock | Role: Operative Skilled | Jobs: 402575 | Customers: Latham &amp; Watkins | Hours: 9.5</t>
  </si>
  <si>
    <t>S Huggins|2026-07-14</t>
  </si>
  <si>
    <t>S Huggins|2026-07-15</t>
  </si>
  <si>
    <t>S Kinsella|2026-07-01</t>
  </si>
  <si>
    <t>S Kinsella</t>
  </si>
  <si>
    <t>S Kinsella|2026-07-02</t>
  </si>
  <si>
    <t>Worked: 1 record(s) | Branch: Croydon | Role: Operative Skilled | Jobs: 399451K | Customers: Royal Borough of Kensington and Chelsea | Hours: 6.5</t>
  </si>
  <si>
    <t>S Kinsella|2026-07-03</t>
  </si>
  <si>
    <t>Worked: 1 record(s) | Branch: Croydon | Role: Operative Skilled | Jobs: 399451K | Customers: Royal Borough of Kensington and Chelsea | Hours: 6.0</t>
  </si>
  <si>
    <t>S Kinsella|2026-07-04</t>
  </si>
  <si>
    <t>S Kinsella|2026-07-13</t>
  </si>
  <si>
    <t>S Kinsella|2026-07-14</t>
  </si>
  <si>
    <t>S Kinsella|2026-07-15</t>
  </si>
  <si>
    <t>402815</t>
  </si>
  <si>
    <t>VEOLIA (Sussex Pathology)</t>
  </si>
  <si>
    <t>Worked: 1 record(s) | Branch: Croydon | Role: Operative Porter | Jobs: 402815 | Customers: VEOLIA (Sussex Pathology) | Hours: 3.0</t>
  </si>
  <si>
    <t>S Magalhaes|2026-07-01</t>
  </si>
  <si>
    <t>S Magalhaes</t>
  </si>
  <si>
    <t>S Magalhaes|2026-07-02</t>
  </si>
  <si>
    <t>S Magalhaes|2026-07-03</t>
  </si>
  <si>
    <t>S Magalhaes|2026-07-04</t>
  </si>
  <si>
    <t>S Magalhaes|2026-07-05</t>
  </si>
  <si>
    <t>S Magalhaes|2026-07-06</t>
  </si>
  <si>
    <t>S Magalhaes|2026-07-07</t>
  </si>
  <si>
    <t>S Magalhaes|2026-07-08</t>
  </si>
  <si>
    <t>Worked: 1 record(s) | Branch: Thurrock | Role: Operative Skilled | Jobs: 403041 | Customers: The Fru | Hours: 8.0</t>
  </si>
  <si>
    <t>S Magalhaes|2026-07-09</t>
  </si>
  <si>
    <t>396947A</t>
  </si>
  <si>
    <t>Jackson/Mr George</t>
  </si>
  <si>
    <t>Worked: 1 record(s) | Branch: Thurrock | Role: Operative Skilled | Jobs: 396947A | Customers: Jackson/Mr George | Hours: 5.5</t>
  </si>
  <si>
    <t>S Magalhaes|2026-07-10</t>
  </si>
  <si>
    <t>Worked: 1 record(s) | Branch: Thurrock | Role: Operative Skilled | Jobs: 403271 | Customers: Bnp Paribas Limited | Hours: 9.0</t>
  </si>
  <si>
    <t>S Magalhaes|2026-07-11</t>
  </si>
  <si>
    <t>S Magalhaes|2026-07-12</t>
  </si>
  <si>
    <t>S Magalhaes|2026-07-14</t>
  </si>
  <si>
    <t>S Magalhaes|2026-07-15</t>
  </si>
  <si>
    <t>S Richardson.|2026-07-01</t>
  </si>
  <si>
    <t>S Richardson.</t>
  </si>
  <si>
    <t>S Richardson.|2026-07-06</t>
  </si>
  <si>
    <t>S Richardson.|2026-07-07</t>
  </si>
  <si>
    <t>S Richardson.|2026-07-08</t>
  </si>
  <si>
    <t>S Richardson.|2026-07-13</t>
  </si>
  <si>
    <t>S Richardson.|2026-07-14</t>
  </si>
  <si>
    <t>S Richardson.|2026-07-15</t>
  </si>
  <si>
    <t>Worked: 1 record(s) | Branch: Thurrock | Role: Operative Skilled | Jobs: 403397 | Customers: University of Hertfordshire | Hours: 5.0</t>
  </si>
  <si>
    <t>S Theobald (CE)|2026-07-06</t>
  </si>
  <si>
    <t>S Theobald (CE)</t>
  </si>
  <si>
    <t>Worked: 1 record(s) | Branch: Thurrock | Role: Operative Skilled | Jobs: 403287 | Customers: University of Hertfordshire | Hours: 8.0</t>
  </si>
  <si>
    <t>S Theobald (CE)|2026-07-09</t>
  </si>
  <si>
    <t>Worked: 1 record(s) | Branch: Thurrock | Role: Operative Skilled | Jobs: 403255 | Customers: Kings College London | Hours: 6.5</t>
  </si>
  <si>
    <t>Samuel Breen|2026-07-14</t>
  </si>
  <si>
    <t>Samuel Breen</t>
  </si>
  <si>
    <t>Operations Management</t>
  </si>
  <si>
    <t>403408</t>
  </si>
  <si>
    <t>Midland Heart</t>
  </si>
  <si>
    <t>Worked: 1 record(s) | Branch: Birmingham | Role: Operations Management | Jobs: 403408 | Customers: Midland Heart | Hours: 1.0</t>
  </si>
  <si>
    <t>Scott Bradley|2026-07-01</t>
  </si>
  <si>
    <t>Scott Bradley</t>
  </si>
  <si>
    <t>Worked: 1 record(s) | Branch: Glasgow | Role: Operative Driver | Jobs: 402927 | Customers: New College Lanarkshire | Hours: 8.0</t>
  </si>
  <si>
    <t>Scott Bradley|2026-07-02</t>
  </si>
  <si>
    <t>Scott Bradley|2026-07-06</t>
  </si>
  <si>
    <t>Worked: 1 record(s) | Branch: Glasgow | Role: Operative Driver | Jobs: 402567 | Customers: Scottish Courts and Tribunals Service | Hours: 8.0</t>
  </si>
  <si>
    <t>Scott Bradley|2026-07-07</t>
  </si>
  <si>
    <t>Scott Bradley|2026-07-08</t>
  </si>
  <si>
    <t>Worked: 1 record(s) | Branch: Glasgow | Role: Operative Driver | Jobs: 402567 | Customers: Scottish Courts and Tribunals Service | Hours: 12.0</t>
  </si>
  <si>
    <t>Scott Bradley|2026-07-09</t>
  </si>
  <si>
    <t>Worked: 1 record(s) | Branch: Glasgow | Role: Operative Driver | Jobs: 402567 | Customers: Scottish Courts and Tribunals Service | Hours: 4.0</t>
  </si>
  <si>
    <t>Scott Bradley|2026-07-13</t>
  </si>
  <si>
    <t>Worked: 1 record(s) | Branch: Glasgow | Role: Operative Driver | Jobs: 403106 | Customers: C/O South Lanarkshire Council | Hours: 10.0</t>
  </si>
  <si>
    <t>Scott Bradley|2026-07-14</t>
  </si>
  <si>
    <t>Worked: 1 record(s) | Branch: Glasgow | Role: Operative Driver | Jobs: 403357 | Customers: Stobhill Hospital | Hours: 8.0</t>
  </si>
  <si>
    <t>Scott Bradley|2026-07-15</t>
  </si>
  <si>
    <t>Worked: 1 record(s) | Branch: Birmingham | Role: Operative Driver | Jobs: 403027 | Customers: HSBC - Branch Audits (2) | Hours: 10.0</t>
  </si>
  <si>
    <t>Scott Scandrett|2026-07-01</t>
  </si>
  <si>
    <t>Scott Scandrett</t>
  </si>
  <si>
    <t>401369, 402916</t>
  </si>
  <si>
    <t>Canal &amp; River Trust; Equans Services Limited</t>
  </si>
  <si>
    <t>Worked: 2 record(s) | Branch: Birmingham | Role: Operative Driver | Jobs: 401369, 402916 | Customers: Canal &amp; River Trust; Equans Services Limited | Hours: 7.0</t>
  </si>
  <si>
    <t>Scott Scandrett|2026-07-02</t>
  </si>
  <si>
    <t>Scott Scandrett|2026-07-03</t>
  </si>
  <si>
    <t>Worked: 2 record(s) | Branch: Birmingham | Role: Operative Driver | Jobs: 396008, 401369 | Customers: Canal &amp; River Trust; HSBC - Branch Audits (1) | Hours: 5.5</t>
  </si>
  <si>
    <t>Scott Scandrett|2026-07-06</t>
  </si>
  <si>
    <t>Worked: 1 record(s) | Branch: Birmingham | Role: Operative Driver | Jobs: 402727 | Customers: Midland Heart Limited | Hours: 8.2</t>
  </si>
  <si>
    <t>Scott Scandrett|2026-07-07</t>
  </si>
  <si>
    <t>Worked: 1 record(s) | Branch: Oxford | Role: Operative Driver | Jobs: 401554 | Customers: CPM/Omnicom | Hours: 9.0</t>
  </si>
  <si>
    <t>Scott Scandrett|2026-07-08</t>
  </si>
  <si>
    <t>399265, 403046</t>
  </si>
  <si>
    <t>HSBC - July 2026 Deliveries; Midland Heart</t>
  </si>
  <si>
    <t>Worked: 2 record(s) | Branch: Birmingham | Role: Operative Driver | Jobs: 399265, 403046 | Customers: HSBC - July 2026 Deliveries; Midland Heart | Hours: 4.0</t>
  </si>
  <si>
    <t>Scott Scandrett|2026-07-09</t>
  </si>
  <si>
    <t>Worked: 1 record(s) | Branch: Birmingham | Role: Operative Driver | Jobs: 390743G | Customers: West Midlands Police - Facilities | Hours: 10.0</t>
  </si>
  <si>
    <t>Scott Scandrett|2026-07-10</t>
  </si>
  <si>
    <t>Worked: 1 record(s) | Branch: Birmingham | Role: Operative Driver | Jobs: 390743G | Customers: West Midlands Police - Facilities | Hours: 7.8</t>
  </si>
  <si>
    <t>Scott Scandrett|2026-07-13</t>
  </si>
  <si>
    <t>403328, 403351, 403392</t>
  </si>
  <si>
    <t>Birmingham Children’s Trust; Midland Heart; MoJ</t>
  </si>
  <si>
    <t>Worked: 3 record(s) | Branch: Birmingham | Role: Operative Porter | Jobs: 403328, 403351, 403392 | Customers: Birmingham Children’s Trust; Midland Heart; MoJ | Hours: 3.8</t>
  </si>
  <si>
    <t>Scott Scandrett|2026-07-14</t>
  </si>
  <si>
    <t>Scott Scandrett|2026-07-15</t>
  </si>
  <si>
    <t>Worked: 1 record(s) | Branch: Birmingham | Role: Operative Driver | Jobs: 390743G | Customers: West Midlands Police - Facilities | Hours: 8.8</t>
  </si>
  <si>
    <t>Scott Wheatley|2026-07-01</t>
  </si>
  <si>
    <t>Scott Wheatley</t>
  </si>
  <si>
    <t>Worked: 2 record(s) | Branch: Birmingham | Role: Operative Porter, Operative Skilled | Jobs: 401968, 402888 | Customers: Sandwell and Birmingham Hospitals NHS Trust; The Open University - Gardiner Blocks | Hours: 8.0</t>
  </si>
  <si>
    <t>Scott Wheatley|2026-07-02</t>
  </si>
  <si>
    <t>Scott Wheatley|2026-07-06</t>
  </si>
  <si>
    <t>Worked: 1 record(s) | Branch: Birmingham | Role: Operative Porter | Jobs: 403133 | Customers: THE MULBERRY BUSH ORGANISATION LTD | Hours: 10.0</t>
  </si>
  <si>
    <t>Scott Wheatley|2026-07-07</t>
  </si>
  <si>
    <t>Worked: 1 record(s) | Branch: Birmingham | Role: Operative Porter | Jobs: 403133 | Customers: THE MULBERRY BUSH ORGANISATION LTD | Hours: 8.5</t>
  </si>
  <si>
    <t>Scott Wheatley|2026-07-08</t>
  </si>
  <si>
    <t>Scott Wheatley|2026-07-09</t>
  </si>
  <si>
    <t>402884</t>
  </si>
  <si>
    <t>Worked: 1 record(s) | Branch: Birmingham | Role: Operative Skilled | Jobs: 402884 | Customers: Midland Heart | Hours: 7.0</t>
  </si>
  <si>
    <t>Scott Wheatley|2026-07-10</t>
  </si>
  <si>
    <t>402888</t>
  </si>
  <si>
    <t>Sandwell and Birmingham Hospitals NHS Trust</t>
  </si>
  <si>
    <t>Worked: 1 record(s) | Branch: Birmingham | Role: Operative Porter | Jobs: 402888 | Customers: Sandwell and Birmingham Hospitals NHS Trust | Hours: 1.8</t>
  </si>
  <si>
    <t>Scott Wheatley|2026-07-13</t>
  </si>
  <si>
    <t>Scott Wheatley|2026-07-14</t>
  </si>
  <si>
    <t>Scott Wheatley|2026-07-15</t>
  </si>
  <si>
    <t>Sean Harris|2026-07-01</t>
  </si>
  <si>
    <t>Sean Harris</t>
  </si>
  <si>
    <t>Sean Harris|2026-07-02</t>
  </si>
  <si>
    <t>Sean Harris|2026-07-03</t>
  </si>
  <si>
    <t>Sean Harris|2026-07-06</t>
  </si>
  <si>
    <t>Sean Harris|2026-07-07</t>
  </si>
  <si>
    <t>Sean Harris|2026-07-08</t>
  </si>
  <si>
    <t>Sean Harris|2026-07-09</t>
  </si>
  <si>
    <t>Sean Harris|2026-07-10</t>
  </si>
  <si>
    <t>Sean Harris|2026-07-13</t>
  </si>
  <si>
    <t>Worked: 1 record(s) | Branch: Thurrock | Role: Operative Driver | Jobs: 401992 | Customers: The Bible Society | Hours: 12.0</t>
  </si>
  <si>
    <t>Sean Harris|2026-07-15</t>
  </si>
  <si>
    <t>403440</t>
  </si>
  <si>
    <t>Worked: 1 record(s) | Branch: Thurrock | Role: Operative Driver | Jobs: 403440 | Customers: Shawbrook Bank Ltd. | Hours: 9.0</t>
  </si>
  <si>
    <t>Serdzhin Aliev|2026-07-01</t>
  </si>
  <si>
    <t>Serdzhin Aliev</t>
  </si>
  <si>
    <t>401968, 402403</t>
  </si>
  <si>
    <t>The Open University - Gardiner Blocks; Worcester Health &amp; Care NHS Trust</t>
  </si>
  <si>
    <t>Worked: 2 record(s) | Branch: Birmingham | Role: Operative Driver | Jobs: 401968, 402403 | Customers: The Open University - Gardiner Blocks; Worcester Health &amp; Care NHS Trust | Hours: 10.0</t>
  </si>
  <si>
    <t>Serdzhin Aliev|2026-07-02</t>
  </si>
  <si>
    <t>Worked: 1 record(s) | Branch: Birmingham | Role: Operative Driver | Jobs: 403133 | Customers: THE MULBERRY BUSH ORGANISATION LTD | Hours: 10.5</t>
  </si>
  <si>
    <t>Serdzhin Aliev|2026-07-03</t>
  </si>
  <si>
    <t>Worked: 1 record(s) | Branch: Birmingham | Role: Operative Driver | Jobs: 403133 | Customers: THE MULBERRY BUSH ORGANISATION LTD | Hours: 9.0</t>
  </si>
  <si>
    <t>Serdzhin Aliev|2026-07-06</t>
  </si>
  <si>
    <t>Worked: 1 record(s) | Branch: Birmingham | Role: Operative Driver | Jobs: 403133 | Customers: THE MULBERRY BUSH ORGANISATION LTD | Hours: 10.0</t>
  </si>
  <si>
    <t>Serdzhin Aliev|2026-07-07</t>
  </si>
  <si>
    <t>Serdzhin Aliev|2026-07-08</t>
  </si>
  <si>
    <t>Worked: 1 record(s) | Branch: Birmingham | Role: Operative Driver | Jobs: 403133 | Customers: THE MULBERRY BUSH ORGANISATION LTD | Hours: 9.5</t>
  </si>
  <si>
    <t>Serdzhin Aliev|2026-07-09</t>
  </si>
  <si>
    <t>Worked: 1 record(s) | Branch: Birmingham | Role: Operative Driver | Jobs: 402884 | Customers: Midland Heart | Hours: 7.0</t>
  </si>
  <si>
    <t>Serdzhin Aliev|2026-07-10</t>
  </si>
  <si>
    <t>397936, 401198, 402888</t>
  </si>
  <si>
    <t>Furniture Sales; Sandwell and Birmingham Hospitals NHS Trust; The Open University</t>
  </si>
  <si>
    <t>Worked: 3 record(s) | Branch: Birmingham | Role: Operative Driver | Jobs: 397936, 401198, 402888 | Customers: Furniture Sales; Sandwell and Birmingham Hospitals NHS Trust; The Open University | Hours: 7.0</t>
  </si>
  <si>
    <t>Serdzhin Aliev|2026-07-13</t>
  </si>
  <si>
    <t>Worked: 1 record(s) | Branch: Birmingham | Role: Operative Driver | Jobs: 401198 | Customers: The Open University | Hours: 4.5</t>
  </si>
  <si>
    <t>Serdzhin Aliev|2026-07-14</t>
  </si>
  <si>
    <t>Worked: 1 record(s) | Branch: Birmingham | Role: Operative Driver | Jobs: 389259 | Customers: Buxton Museum and Art Gallery | Hours: 7.0</t>
  </si>
  <si>
    <t>Serdzhin Aliev|2026-07-15</t>
  </si>
  <si>
    <t>389259, 401198</t>
  </si>
  <si>
    <t>Buxton Museum and Art Gallery; The Open University</t>
  </si>
  <si>
    <t>Worked: 2 record(s) | Branch: Birmingham | Role: Operative Driver | Jobs: 389259, 401198 | Customers: Buxton Museum and Art Gallery; The Open University | Hours: 9.5</t>
  </si>
  <si>
    <t>Shayne Luckman|2026-07-01</t>
  </si>
  <si>
    <t>Shayne Luckman</t>
  </si>
  <si>
    <t>Worked: 2 record(s) | Branch: Birmingham | Role: Operative Porter | Jobs: 401369, 402916 | Customers: Canal &amp; River Trust; Equans Services Limited | Hours: 7.0</t>
  </si>
  <si>
    <t>Shayne Luckman|2026-07-03</t>
  </si>
  <si>
    <t>Worked: 2 record(s) | Branch: Birmingham | Role: Operative Porter | Jobs: 396008, 401369 | Customers: Canal &amp; River Trust; HSBC - Branch Audits (1) | Hours: 5.5</t>
  </si>
  <si>
    <t>Shayne Luckman|2026-07-06</t>
  </si>
  <si>
    <t>Worked: 1 record(s) | Branch: Birmingham | Role: Operative Porter | Jobs: 402727 | Customers: Midland Heart Limited | Hours: 8.2</t>
  </si>
  <si>
    <t>Shayne Luckman|2026-07-07</t>
  </si>
  <si>
    <t>Shayne Luckman|2026-07-08</t>
  </si>
  <si>
    <t>402711</t>
  </si>
  <si>
    <t>University of Birmingham</t>
  </si>
  <si>
    <t>Worked: 1 record(s) | Branch: Birmingham | Role: Operative Porter | Jobs: 402711 | Customers: University of Birmingham | Hours: 2.5</t>
  </si>
  <si>
    <t>Shayne Luckman|2026-07-09</t>
  </si>
  <si>
    <t>Worked: 1 record(s) | Branch: Birmingham | Role: Operative Porter | Jobs: 390743G | Customers: West Midlands Police - Facilities | Hours: 10.0</t>
  </si>
  <si>
    <t>Shayne Luckman|2026-07-10</t>
  </si>
  <si>
    <t>Worked: 1 record(s) | Branch: Birmingham | Role: Operative Porter | Jobs: 390743G | Customers: West Midlands Police - Facilities | Hours: 7.8</t>
  </si>
  <si>
    <t>Shayne Luckman|2026-07-13</t>
  </si>
  <si>
    <t>Worked: 1 record(s) | Branch: Birmingham | Role: Operative Porter | Jobs: 401198 | Customers: The Open University | Hours: 4.5</t>
  </si>
  <si>
    <t>Shayne Luckman|2026-07-14</t>
  </si>
  <si>
    <t>Worked: 1 record(s) | Branch: Birmingham | Role: Operative Porter | Jobs: 390743G | Customers: West Midlands Police - Facilities | Hours: 9.2</t>
  </si>
  <si>
    <t>Shayne Luckman|2026-07-15</t>
  </si>
  <si>
    <t>Worked: 1 record(s) | Branch: Birmingham | Role: Operative Porter | Jobs: 390743G | Customers: West Midlands Police - Facilities | Hours: 8.8</t>
  </si>
  <si>
    <t>Ste Smith|2026-07-02</t>
  </si>
  <si>
    <t>Ste Smith</t>
  </si>
  <si>
    <t>Ste Smith|2026-07-03</t>
  </si>
  <si>
    <t>Worked: 2 record(s) | Branch: Birmingham, Manchester | Role: Operative Porter | Jobs: 401369, 402960 | Customers: CBRE/NCC Services Ltd; Canal &amp; River Trust | Hours: 5.0</t>
  </si>
  <si>
    <t>Ste Smith|2026-07-07</t>
  </si>
  <si>
    <t>Worked: 1 record(s) | Branch: Leeds | Role: Operative Porter | Jobs: 402775 | Customers: Kirklees Council - Sibonisine Ncube | Hours: 7.5</t>
  </si>
  <si>
    <t>Ste Smith|2026-07-08</t>
  </si>
  <si>
    <t>Ste Smith|2026-07-09</t>
  </si>
  <si>
    <t>Ste Smith|2026-07-14</t>
  </si>
  <si>
    <t>Worked: 1 record(s) | Branch: Cambridge | Role: Operative Porter | Jobs: 403004D | Customers: Avantor (MANCHESTER  JULY  2026 ) | Hours: 9.5</t>
  </si>
  <si>
    <t>Ste Smith|2026-07-15</t>
  </si>
  <si>
    <t>Steven Baughan|2026-07-01</t>
  </si>
  <si>
    <t>Steven Baughan</t>
  </si>
  <si>
    <t>Worked: 1 record(s) | Branch: Birmingham | Role: Operative Porter | Jobs: 390743G | Customers: West Midlands Police - Facilities | Hours: 9.0</t>
  </si>
  <si>
    <t>Steven Baughan|2026-07-02</t>
  </si>
  <si>
    <t>Worked: 1 record(s) | Branch: Birmingham | Role: Operative Porter | Jobs: 403214 | Customers: West Midlands Police | Hours: 9.0</t>
  </si>
  <si>
    <t>Steven Baughan|2026-07-03</t>
  </si>
  <si>
    <t>Steven Baughan|2026-07-06</t>
  </si>
  <si>
    <t>Steven Baughan|2026-07-07</t>
  </si>
  <si>
    <t>Steven Baughan|2026-07-08</t>
  </si>
  <si>
    <t>Worked: 1 record(s) | Branch: Birmingham | Role: Operative Porter | Jobs: 403046 | Customers: HSBC - July 2026 Deliveries | Hours: 11.5</t>
  </si>
  <si>
    <t>Steven Baughan|2026-07-09</t>
  </si>
  <si>
    <t>Worked: 1 record(s) | Branch: Birmingham | Role: Operative Porter | Jobs: 403046 | Customers: HSBC - July 2026 Deliveries | Hours: 6.5</t>
  </si>
  <si>
    <t>Steven Baughan|2026-07-10</t>
  </si>
  <si>
    <t>402684, 403110</t>
  </si>
  <si>
    <t>City of Birmingham School; Midland Heart</t>
  </si>
  <si>
    <t>Worked: 2 record(s) | Branch: Birmingham | Role: Operative Porter | Jobs: 402684, 403110 | Customers: City of Birmingham School; Midland Heart | Hours: 5.5</t>
  </si>
  <si>
    <t>Steven Baughan|2026-07-13</t>
  </si>
  <si>
    <t>Steven Baughan|2026-07-14</t>
  </si>
  <si>
    <t>Steven Childs|2026-07-01</t>
  </si>
  <si>
    <t>Steven Childs</t>
  </si>
  <si>
    <t>Worked: 1 record(s) | Branch: Manchester | Role: Operative Driver | Jobs: 397251 | Customers: Lancaster University (Leadership Centre) | Hours: 7.0</t>
  </si>
  <si>
    <t>Steven Childs|2026-07-02</t>
  </si>
  <si>
    <t>Steven Childs|2026-07-03</t>
  </si>
  <si>
    <t>Worked: 2 record(s) | Branch: Birmingham, Manchester | Role: Operative Driver | Jobs: 401369, 402960 | Customers: CBRE/NCC Services Ltd; Canal &amp; River Trust | Hours: 5.0</t>
  </si>
  <si>
    <t>Steven Childs|2026-07-07</t>
  </si>
  <si>
    <t>Worked: 1 record(s) | Branch: Leeds | Role: Operative Driver | Jobs: 402775 | Customers: Kirklees Council - Sibonisine Ncube | Hours: 7.5</t>
  </si>
  <si>
    <t>Steven Childs|2026-07-08</t>
  </si>
  <si>
    <t>Steven Childs|2026-07-09</t>
  </si>
  <si>
    <t>403107, 403295</t>
  </si>
  <si>
    <t>CGI IT UK LTD.; Manchester Metropolitan University</t>
  </si>
  <si>
    <t>Worked: 2 record(s) | Branch: Manchester | Role: Operative Driver | Jobs: 403107, 403295 | Customers: CGI IT UK LTD.; Manchester Metropolitan University | Hours: 31.0</t>
  </si>
  <si>
    <t>Steven Childs|2026-07-10</t>
  </si>
  <si>
    <t>Worked: 1 record(s) | Branch: Birmingham | Role: Operative Driver | Jobs: 401369 | Customers: Canal &amp; River Trust | Hours: 7.5</t>
  </si>
  <si>
    <t>Steven Childs|2026-07-13</t>
  </si>
  <si>
    <t>Worked: 1 record(s) | Branch: Manchester | Role: Operative Driver | Jobs: 403229 | Customers: NHS SBS - Clatterbridge Hospital | Hours: 1.2</t>
  </si>
  <si>
    <t>Steven Childs|2026-07-14</t>
  </si>
  <si>
    <t>Worked: 2 record(s) | Branch: Manchester | Role: Operative Driver | Jobs: 403103, 403229 | Customers: Cheshire Fire; NHS SBS - Clatterbridge Hospital | Hours: 9.5</t>
  </si>
  <si>
    <t>Steven Childs|2026-07-15</t>
  </si>
  <si>
    <t>Worked: 1 record(s) | Branch: Manchester | Role: Operative Driver | Jobs: 403242 | Customers: MOJ (Sodexo) SR:61036 | Hours: 4.9</t>
  </si>
  <si>
    <t>Steven Currie|2026-07-01</t>
  </si>
  <si>
    <t>Steven Currie</t>
  </si>
  <si>
    <t>Steven Currie|2026-07-02</t>
  </si>
  <si>
    <t>Steven Currie|2026-07-03</t>
  </si>
  <si>
    <t>Steven Currie|2026-07-06</t>
  </si>
  <si>
    <t>Worked: 1 record(s) | Branch: Cambridge | Role: Operative Driver | Jobs: 402791 | Customers: Anglia Ruskin University | Hours: 3.5</t>
  </si>
  <si>
    <t>Steven Currie|2026-07-07</t>
  </si>
  <si>
    <t>Steven Currie|2026-07-14</t>
  </si>
  <si>
    <t>T Abdullaev|2026-07-01</t>
  </si>
  <si>
    <t>T Abdullaev</t>
  </si>
  <si>
    <t>T Abdullaev|2026-07-02</t>
  </si>
  <si>
    <t>T Abdullaev|2026-07-03</t>
  </si>
  <si>
    <t>T Abdullaev|2026-07-04</t>
  </si>
  <si>
    <t>T Abdullaev|2026-07-05</t>
  </si>
  <si>
    <t>T Abdullaev|2026-07-06</t>
  </si>
  <si>
    <t>T Abdullaev|2026-07-07</t>
  </si>
  <si>
    <t>Worked: 1 record(s) | Branch: Thurrock | Role: Operative Skilled | Jobs: 402982 | Customers: Smith/Ms Cerita | Hours: 7.0</t>
  </si>
  <si>
    <t>T Abdullaev|2026-07-08</t>
  </si>
  <si>
    <t>T Abdullaev|2026-07-09</t>
  </si>
  <si>
    <t>Worked: 1 record(s) | Branch: Thurrock | Role: Operative Skilled | Jobs: 403311 | Customers: Haringey Council | Hours: 8.2</t>
  </si>
  <si>
    <t>T Abdullaev|2026-07-10</t>
  </si>
  <si>
    <t>T Abdullaev|2026-07-11</t>
  </si>
  <si>
    <t>T Abdullaev|2026-07-12</t>
  </si>
  <si>
    <t>T Abdullaev|2026-07-13</t>
  </si>
  <si>
    <t>T Barry (B)|2026-07-01</t>
  </si>
  <si>
    <t>T Barry (B)</t>
  </si>
  <si>
    <t>T Barry (B)|2026-07-02</t>
  </si>
  <si>
    <t>T Barry (B)|2026-07-03</t>
  </si>
  <si>
    <t>T Barry (B)|2026-07-06</t>
  </si>
  <si>
    <t>T Barry (B)|2026-07-07</t>
  </si>
  <si>
    <t>T Barry (B)|2026-07-08</t>
  </si>
  <si>
    <t>T Barry (B)|2026-07-10</t>
  </si>
  <si>
    <t>T Barry (B)|2026-07-13</t>
  </si>
  <si>
    <t>T Barry (B)|2026-07-14</t>
  </si>
  <si>
    <t>T Barry (B)|2026-07-15</t>
  </si>
  <si>
    <t>T Brindle|2026-07-01</t>
  </si>
  <si>
    <t>T Brindle</t>
  </si>
  <si>
    <t>Worked: 1 record(s) | Branch: Croydon | Role: Warehouse | Jobs: 399451K | Customers: Royal Borough of Kensington and Chelsea | Hours: 3.0</t>
  </si>
  <si>
    <t>T Brindle|2026-07-07</t>
  </si>
  <si>
    <t>Worked: 1 record(s) | Branch: Croydon | Role: Warehouse | Jobs: 399451U | Customers: Royal Borough of Kensington and Chelsea | Hours: 4.0</t>
  </si>
  <si>
    <t>T Mautsi (CE)|2026-07-03</t>
  </si>
  <si>
    <t>T Mautsi (CE)</t>
  </si>
  <si>
    <t>Worked: 1 record(s) | Branch: Croydon | Role: Operative Driver | Jobs: 402709 | Customers: Global Outdoor Media Limited | Hours: 11.5</t>
  </si>
  <si>
    <t>T Mautsi (CE)|2026-07-04</t>
  </si>
  <si>
    <t>Worked: 1 record(s) | Branch: Croydon | Role: Operative Driver | Jobs: 402709 | Customers: Global Outdoor Media Limited | Hours: 11.0</t>
  </si>
  <si>
    <t>T Mautsi (CE)|2026-07-05</t>
  </si>
  <si>
    <t>T Mautsi (CE)|2026-07-06</t>
  </si>
  <si>
    <t>T Mautsi (CE)|2026-07-08</t>
  </si>
  <si>
    <t>Worked: 1 record(s) | Branch: Thurrock | Role: Operative Driver | Jobs: 402876 | Customers: Bishops | Hours: 7.5</t>
  </si>
  <si>
    <t>T Mautsi (CE)|2026-07-09</t>
  </si>
  <si>
    <t>T Mautsi (CE)|2026-07-10</t>
  </si>
  <si>
    <t>Worked: 1 record(s) | Branch: Thurrock | Role: Operative Driver | Jobs: 402575 | Customers: Latham &amp; Watkins | Hours: 10.0</t>
  </si>
  <si>
    <t>T Mautsi (CE)|2026-07-13</t>
  </si>
  <si>
    <t>403414</t>
  </si>
  <si>
    <t>Pickfords Move Management Ltd</t>
  </si>
  <si>
    <t>Worked: 1 record(s) | Branch: Thurrock | Role: Operative Driver | Jobs: 403414 | Customers: Pickfords Move Management Ltd | Hours: 12.5</t>
  </si>
  <si>
    <t>T Mautsi (CE)|2026-07-14</t>
  </si>
  <si>
    <t>Worked: 1 record(s) | Branch: Thurrock | Role: Operative Driver | Jobs: 403414 | Customers: Pickfords Move Management Ltd | Hours: 11.5</t>
  </si>
  <si>
    <t>T Mautsi (CE)|2026-07-15</t>
  </si>
  <si>
    <t>Worked: 1 record(s) | Branch: Thurrock | Role: Operative Driver | Jobs: 403414 | Customers: Pickfords Move Management Ltd | Hours: 8.5</t>
  </si>
  <si>
    <t>T Wyss (B)|2026-07-01</t>
  </si>
  <si>
    <t>T Wyss (B)</t>
  </si>
  <si>
    <t>Worked: 1 record(s) | Branch: Thurrock | Role: Operative Skilled | Jobs: 403036 | Customers: Russell Reynolds Assoc | Hours: 8.5</t>
  </si>
  <si>
    <t>T Wyss (B)|2026-07-07</t>
  </si>
  <si>
    <t>Worked: 1 record(s) | Branch: Thurrock | Role: Operative Skilled | Jobs: 402572 | Customers: City of London Police | Hours: 8.0</t>
  </si>
  <si>
    <t>T Wyss (B)|2026-07-08</t>
  </si>
  <si>
    <t>T Wyss (B)|2026-07-14</t>
  </si>
  <si>
    <t>T Wyss (B)|2026-07-15</t>
  </si>
  <si>
    <t>Worked: 1 record(s) | Branch: Thurrock | Role: Operative Skilled | Jobs: 398446 | Customers: Royal Entomological society | Hours: 9.5</t>
  </si>
  <si>
    <t>Tashan Cornwall|2026-07-02</t>
  </si>
  <si>
    <t>Tashan Cornwall</t>
  </si>
  <si>
    <t>Worked: 1 record(s) | Branch: Thurrock | Role: Operative Porter | Jobs: 403096 | Customers: London Borough of Lambeth | Hours: 7.0</t>
  </si>
  <si>
    <t>Tashan Cornwall|2026-07-03</t>
  </si>
  <si>
    <t>Worked: 1 record(s) | Branch: Thurrock | Role: Operative Porter | Jobs: 403065 | Customers: Tetteh/Miss Freda | Hours: 7.0</t>
  </si>
  <si>
    <t>Tashan Cornwall|2026-07-06</t>
  </si>
  <si>
    <t>Worked: 1 record(s) | Branch: Thurrock | Role: Operative Porter | Jobs: 402982 | Customers: Smith/Ms Cerita | Hours: 9.0</t>
  </si>
  <si>
    <t>Th Roberts|2026-07-01</t>
  </si>
  <si>
    <t>Th Roberts</t>
  </si>
  <si>
    <t>Th Roberts|2026-07-02</t>
  </si>
  <si>
    <t>CONFLICT — Worked + leave record</t>
  </si>
  <si>
    <t>Worked: 1 record(s) | Branch: Croydon | Role: Operative Porter | Jobs: 402709 | Customers: Global Outdoor Media Limited | Hours: 10.5 | Leave: Annual Leave (Hours)</t>
  </si>
  <si>
    <t>Th Roberts|2026-07-03</t>
  </si>
  <si>
    <t>Worked: 1 record(s) | Branch: Croydon | Role: Operative Porter | Jobs: 400111 | Customers: Bromley Central Library | Hours: 6.5 | Leave: Annual Leave (Hours)</t>
  </si>
  <si>
    <t>Th Roberts|2026-07-10</t>
  </si>
  <si>
    <t>Th Roberts|2026-07-13</t>
  </si>
  <si>
    <t>Worked: 1 record(s) | Branch: Croydon | Role: Operative Porter | Jobs: 400111 | Customers: Bromley Central Library | Hours: 6.0 | Leave: Annual Leave (Hours)</t>
  </si>
  <si>
    <t>Th Roberts|2026-07-14</t>
  </si>
  <si>
    <t>Worked: 1 record(s) | Branch: Croydon | Role: Operative Porter | Jobs: 392752 | Customers: Bromley Central Library | Hours: 6.5</t>
  </si>
  <si>
    <t>Th Roberts|2026-07-15</t>
  </si>
  <si>
    <t>Worked: 1 record(s) | Branch: Cambridge | Role: Operative Porter | Jobs: 403004C | Customers: Avantor ( CROYDON  JULY  2026 ) | Hours: 4.0</t>
  </si>
  <si>
    <t>Timur Kubanski|2026-07-01</t>
  </si>
  <si>
    <t>Timur Kubanski</t>
  </si>
  <si>
    <t>Worked: 2 record(s) | Branch: Birmingham | Role: Operative Skilled | Jobs: 401369, 402916 | Customers: Canal &amp; River Trust; Equans Services Limited | Hours: 7.0</t>
  </si>
  <si>
    <t>Timur Kubanski|2026-07-02</t>
  </si>
  <si>
    <t>Worked: 1 record(s) | Branch: Birmingham | Role: Operative Skilled | Jobs: 402697 | Customers: Jaguar Land Rover Limited | Hours: 8.0</t>
  </si>
  <si>
    <t>Timur Kubanski|2026-07-03</t>
  </si>
  <si>
    <t>Worked: 1 record(s) | Branch: Birmingham | Role: Operative Skilled | Jobs: 403046 | Customers: HSBC - July 2026 Deliveries | Hours: 8.5</t>
  </si>
  <si>
    <t>Timur Kubanski|2026-07-07</t>
  </si>
  <si>
    <t>Worked: 1 record(s) | Branch: Birmingham | Role: Operative Skilled | Jobs: 402697 | Customers: Jaguar Land Rover Limited | Hours: 8.2</t>
  </si>
  <si>
    <t>Timur Kubanski|2026-07-08</t>
  </si>
  <si>
    <t>Worked: 1 record(s) | Branch: Birmingham | Role: Operative Skilled | Jobs: 402711 | Customers: University of Birmingham | Hours: 2.5</t>
  </si>
  <si>
    <t>Timur Kubanski|2026-07-09</t>
  </si>
  <si>
    <t>Worked: 1 record(s) | Branch: Birmingham | Role: Operative Skilled | Jobs: 402697 | Customers: Jaguar Land Rover Limited | Hours: 7.5</t>
  </si>
  <si>
    <t>Timur Kubanski|2026-07-10</t>
  </si>
  <si>
    <t>397936, 401198, 403325</t>
  </si>
  <si>
    <t>Furniture Sales; Midland Heart; The Open University</t>
  </si>
  <si>
    <t>Worked: 3 record(s) | Branch: Birmingham | Role: Operative Porter, Operative Skilled | Jobs: 397936, 401198, 403325 | Customers: Furniture Sales; Midland Heart; The Open University | Hours: 7.2</t>
  </si>
  <si>
    <t>Timur Kubanski|2026-07-13</t>
  </si>
  <si>
    <t>Timur Kubanski|2026-07-14</t>
  </si>
  <si>
    <t>Timur Kubanski|2026-07-15</t>
  </si>
  <si>
    <t>Worked: 2 record(s) | Branch: Birmingham | Role: Operative Porter, Operative Skilled | Jobs: 401198, 403354 | Customers: Midland Heart; The Open University | Hours: 5.8</t>
  </si>
  <si>
    <t>Toby Hubble|2026-07-01</t>
  </si>
  <si>
    <t>Toby Hubble</t>
  </si>
  <si>
    <t>Toby Hubble|2026-07-02</t>
  </si>
  <si>
    <t>Toby Hubble|2026-07-03</t>
  </si>
  <si>
    <t>Worked: 1 record(s) | Branch: Cambridge | Role: Operative Skilled | Jobs: 403073 | Customers: Anglia Ruskin University | Hours: 8.5</t>
  </si>
  <si>
    <t>Toby Hubble|2026-07-06</t>
  </si>
  <si>
    <t>Worked: 1 record(s) | Branch: Croydon | Role: Operative Skilled | Jobs: 402797 | Customers: KI-Hydrogen (Scale Space) | Hours: 12.0</t>
  </si>
  <si>
    <t>Toby Hubble|2026-07-07</t>
  </si>
  <si>
    <t>Worked: 1 record(s) | Branch: Cambridge | Role: Operative Porter | Jobs: 403004 | Customers: Avantor ( CAMBRIDGE JULY  2026 ) | Hours: 6.0</t>
  </si>
  <si>
    <t>Toby Hubble|2026-07-10</t>
  </si>
  <si>
    <t>Worked: 1 record(s) | Branch: Cambridge | Role: Operative Skilled | Jobs: 403004 | Customers: Avantor ( CAMBRIDGE JULY  2026 ) | Hours: 7.5</t>
  </si>
  <si>
    <t>Toby Hubble|2026-07-13</t>
  </si>
  <si>
    <t>Toby Hubble|2026-07-14</t>
  </si>
  <si>
    <t>Toby Hubble|2026-07-15</t>
  </si>
  <si>
    <t>Toby Hubble|2026-07-16</t>
  </si>
  <si>
    <t>Tom Taylor.|2026-07-01</t>
  </si>
  <si>
    <t>Tom Taylor.</t>
  </si>
  <si>
    <t>Worked: 1 record(s) | Branch: Croydon | Role: Operative Skilled | Jobs: 402709 | Customers: Global Outdoor Media Limited | Hours: 7.5</t>
  </si>
  <si>
    <t>Tom Taylor.|2026-07-02</t>
  </si>
  <si>
    <t>Tom Taylor.|2026-07-03</t>
  </si>
  <si>
    <t>Worked: 1 record(s) | Branch: Croydon | Role: Operative Skilled | Jobs: 402709 | Customers: Global Outdoor Media Limited | Hours: 9.0</t>
  </si>
  <si>
    <t>Tom Taylor.|2026-07-04</t>
  </si>
  <si>
    <t>Tom Taylor.|2026-07-05</t>
  </si>
  <si>
    <t>Tom Taylor.|2026-07-06</t>
  </si>
  <si>
    <t>Tom Taylor.|2026-07-07</t>
  </si>
  <si>
    <t>393869A, 400111</t>
  </si>
  <si>
    <t>Bromley Central Library; Kings College London</t>
  </si>
  <si>
    <t>Worked: 2 record(s) | Branch: Croydon | Role: Operative Skilled | Jobs: 393869A, 400111 | Customers: Bromley Central Library; Kings College London | Hours: 11.5</t>
  </si>
  <si>
    <t>Tom Taylor.|2026-07-08</t>
  </si>
  <si>
    <t>Worked: 2 record(s) | Branch: Croydon | Role: Operative Skilled | Jobs: 393869A, 400111 | Customers: Bromley Central Library; Kings College London | Hours: 11.0</t>
  </si>
  <si>
    <t>Tom Taylor.|2026-07-09</t>
  </si>
  <si>
    <t>Tom Taylor.|2026-07-10</t>
  </si>
  <si>
    <t>Worked: 2 record(s) | Branch: Croydon | Role: Operative Skilled | Jobs: 399451Y, 403330 | Customers: Royal Borough of Kensington and Chelsea | Hours: 11.0</t>
  </si>
  <si>
    <t>Trevor Kelly|2026-07-01</t>
  </si>
  <si>
    <t>Trevor Kelly</t>
  </si>
  <si>
    <t>Worked: 1 record(s) | Branch: Birmingham | Role: Operative Driver | Jobs: 403046 | Customers: HSBC - July 2026 Deliveries | Hours: 9.0</t>
  </si>
  <si>
    <t>Trevor Kelly|2026-07-02</t>
  </si>
  <si>
    <t>Trevor Kelly|2026-07-03</t>
  </si>
  <si>
    <t>Worked: 3 record(s) | Branch: Birmingham, Cambridge | Role: Operative Driver | Jobs: 401084, 403046, 403121 | Customers: BESCIENTIFIC (UNI NOTTS); HSBC - July 2026 Deliveries; Total System Services Processing Europe Ltd | Hours: 9.0</t>
  </si>
  <si>
    <t>Trevor Kelly|2026-07-06</t>
  </si>
  <si>
    <t>402568</t>
  </si>
  <si>
    <t>Herefordshire &amp; Worcestershire Health NHS</t>
  </si>
  <si>
    <t>Worked: 1 record(s) | Branch: Birmingham | Role: Operative Driver | Jobs: 402568 | Customers: Herefordshire &amp; Worcestershire Health NHS | Hours: 8.0</t>
  </si>
  <si>
    <t>Trevor Kelly|2026-07-07</t>
  </si>
  <si>
    <t>Worked: 1 record(s) | Branch: Birmingham | Role: Operative Skilled | Jobs: 402568 | Customers: Herefordshire &amp; Worcestershire Health NHS | Hours: 6.5</t>
  </si>
  <si>
    <t>Trevor Kelly|2026-07-08</t>
  </si>
  <si>
    <t>Worked: 1 record(s) | Branch: Birmingham | Role: Operative Driver | Jobs: 403046 | Customers: HSBC - July 2026 Deliveries | Hours: 11.5</t>
  </si>
  <si>
    <t>Trevor Kelly|2026-07-09</t>
  </si>
  <si>
    <t>Worked: 1 record(s) | Branch: Birmingham | Role: Operative Driver | Jobs: 403046 | Customers: HSBC - July 2026 Deliveries | Hours: 6.5</t>
  </si>
  <si>
    <t>Trevor Kelly|2026-07-10</t>
  </si>
  <si>
    <t>Worked: 2 record(s) | Branch: Birmingham | Role: Operative Driver | Jobs: 402684, 403110 | Customers: City of Birmingham School; Midland Heart | Hours: 5.5</t>
  </si>
  <si>
    <t>Trevor Kelly|2026-07-13</t>
  </si>
  <si>
    <t>Worked: 3 record(s) | Branch: Birmingham | Role: Operative Driver | Jobs: 403328, 403351, 403392 | Customers: Birmingham Children’s Trust; Midland Heart; MoJ | Hours: 3.8</t>
  </si>
  <si>
    <t>Trevor Kelly|2026-07-14</t>
  </si>
  <si>
    <t>Trevor Kelly|2026-07-15</t>
  </si>
  <si>
    <t>Victor Muiruri|2026-07-01</t>
  </si>
  <si>
    <t>Victor Muiruri</t>
  </si>
  <si>
    <t>Victor Muiruri|2026-07-06</t>
  </si>
  <si>
    <t>Worked: 1 record(s) | Branch: Thurrock | Role: Operative Driver | Jobs: 403087 | Customers: Heywood/Ms Theresa | Hours: 9.0</t>
  </si>
  <si>
    <t>Victor Muiruri|2026-07-07</t>
  </si>
  <si>
    <t>Worked: 1 record(s) | Branch: Thurrock | Role: Operative Driver | Jobs: 403087 | Customers: Heywood/Ms Theresa | Hours: 8.0</t>
  </si>
  <si>
    <t>Victor Muiruri|2026-07-08</t>
  </si>
  <si>
    <t>Worked: 1 record(s) | Branch: Thurrock | Role: Operative Driver | Jobs: 403041 | Customers: The Fru | Hours: 8.0</t>
  </si>
  <si>
    <t>Victor Muiruri|2026-07-09</t>
  </si>
  <si>
    <t>W Barnett.|2026-07-01</t>
  </si>
  <si>
    <t>W Barnett.</t>
  </si>
  <si>
    <t>W Barnett.|2026-07-03</t>
  </si>
  <si>
    <t>Worked: 1 record(s) | Branch: Thurrock | Role: Operative Porter | Jobs: 402379 | Customers: Restore – Doc Management - NWL collections | Hours: 11.0</t>
  </si>
  <si>
    <t>W Barnett.|2026-07-06</t>
  </si>
  <si>
    <t>W Barnett.|2026-07-07</t>
  </si>
  <si>
    <t>Worked: 1 record(s) | Branch: Thurrock | Role: Operative Porter | Jobs: 403225 | Customers: University of Hertfordshire | Hours: 8.0</t>
  </si>
  <si>
    <t>W Barnett.|2026-07-08</t>
  </si>
  <si>
    <t>Worked: 1 record(s) | Branch: Thurrock | Role: Operative Porter | Jobs: 402379 | Customers: Restore – Doc Management - NWL collections | Hours: 8.5</t>
  </si>
  <si>
    <t>W Barnett.|2026-07-09</t>
  </si>
  <si>
    <t>Worked: 1 record(s) | Branch: Thurrock | Role: Operative Porter | Jobs: 402264 | Customers: AlixPartners LLP | Hours: 8.0</t>
  </si>
  <si>
    <t>W Barnett.|2026-07-13</t>
  </si>
  <si>
    <t>W Barnett.|2026-07-14</t>
  </si>
  <si>
    <t>W Barnett.|2026-07-15</t>
  </si>
  <si>
    <t>W Barnett.|2026-07-16</t>
  </si>
  <si>
    <t>Wayne Clark1|2026-07-01</t>
  </si>
  <si>
    <t>Wayne Clark1</t>
  </si>
  <si>
    <t>Wayne Clark1|2026-07-02</t>
  </si>
  <si>
    <t>Wayne Clark1|2026-07-03</t>
  </si>
  <si>
    <t>Wayne Clark1|2026-07-06</t>
  </si>
  <si>
    <t>Wayne Clark1|2026-07-07</t>
  </si>
  <si>
    <t>Wayne Clark1|2026-07-08</t>
  </si>
  <si>
    <t>Wayne Clark1|2026-07-09</t>
  </si>
  <si>
    <t>Wayne Clark1|2026-07-10</t>
  </si>
  <si>
    <t>Wayne Clark1|2026-07-13</t>
  </si>
  <si>
    <t>Wayne Clark1|2026-07-14</t>
  </si>
  <si>
    <t>Wayne Clark1|2026-07-15</t>
  </si>
  <si>
    <t>Wayne Russell|2026-07-01</t>
  </si>
  <si>
    <t>Wayne Russell</t>
  </si>
  <si>
    <t>Worked: 2 record(s) | Branch: Birmingham | Role: Operative Porter, Operative Skilled | Jobs: 401968, 402403 | Customers: The Open University - Gardiner Blocks; Worcester Health &amp; Care NHS Trust | Hours: 10.0</t>
  </si>
  <si>
    <t>Wayne Russell|2026-07-02</t>
  </si>
  <si>
    <t>Worked: 1 record(s) | Branch: Birmingham | Role: Operative Skilled | Jobs: 403133 | Customers: THE MULBERRY BUSH ORGANISATION LTD | Hours: 10.5</t>
  </si>
  <si>
    <t>Wayne Russell|2026-07-06</t>
  </si>
  <si>
    <t>402532</t>
  </si>
  <si>
    <t>HSBC - June 2026 Deliveries</t>
  </si>
  <si>
    <t>Worked: 1 record(s) | Branch: Birmingham | Role: Operative Skilled | Jobs: 402532 | Customers: HSBC - June 2026 Deliveries | Hours: 6.0</t>
  </si>
  <si>
    <t>Wayne Russell|2026-07-09</t>
  </si>
  <si>
    <t>403004B, 403057</t>
  </si>
  <si>
    <t>Avantor ( BIRMINGHAM JULY  2026 ); University of Birmingham</t>
  </si>
  <si>
    <t>Worked: 2 record(s) | Branch: Birmingham, Cambridge | Role: Operative Porter, Operative Skilled | Jobs: 403004B, 403057 | Customers: Avantor ( BIRMINGHAM JULY  2026 ); University of Birmingham | Hours: 6.2</t>
  </si>
  <si>
    <t>Wayne Russell|2026-07-10</t>
  </si>
  <si>
    <t>Worked: 2 record(s) | Branch: Birmingham | Role: Operative Porter, Operative Skilled | Jobs: 402684, 403110 | Customers: City of Birmingham School; Midland Heart | Hours: 5.5</t>
  </si>
  <si>
    <t>William Dzinski|2026-07-02</t>
  </si>
  <si>
    <t>William Dzinski</t>
  </si>
  <si>
    <t>Worked: 1 record(s) | Branch: Croydon | Role: Operative Porter | Jobs: 393361E | Customers: The Quadrant | Hours: 8.5</t>
  </si>
  <si>
    <t>William Dzinski|2026-07-03</t>
  </si>
  <si>
    <t>William Dzinski|2026-07-06</t>
  </si>
  <si>
    <t>Worked: 1 record(s) | Branch: Croydon | Role: Operative Skilled | Jobs: 399451U | Customers: Royal Borough of Kensington and Chelsea | Hours: 9.0</t>
  </si>
  <si>
    <t>William Dzinski|2026-07-07</t>
  </si>
  <si>
    <t>399451U, 399451Y</t>
  </si>
  <si>
    <t>Worked: 2 record(s) | Branch: Croydon | Role: Operative Skilled | Jobs: 399451U, 399451Y | Customers: Royal Borough of Kensington and Chelsea | Hours: 15.0</t>
  </si>
  <si>
    <t>William Dzinski|2026-07-08</t>
  </si>
  <si>
    <t>Worked: 1 record(s) | Branch: Croydon | Role: Operative Porter | Jobs: 402743 | Customers: EDF / DALKIA FACILITIES LIMITED | Hours: 8.0</t>
  </si>
  <si>
    <t>William Dzinski|2026-07-09</t>
  </si>
  <si>
    <t>William Dzinski|2026-07-10</t>
  </si>
  <si>
    <t>399451Y</t>
  </si>
  <si>
    <t>Worked: 1 record(s) | Branch: Croydon | Role: Operative Porter | Jobs: 399451Y | Customers: Royal Borough of Kensington and Chelsea | Hours: 7.0</t>
  </si>
  <si>
    <t>William Dzinski|2026-07-13</t>
  </si>
  <si>
    <t>William Dzinski|2026-07-14</t>
  </si>
  <si>
    <t>William Dzinski|2026-07-15</t>
  </si>
  <si>
    <t>Worked: 1 record(s) | Branch: Croydon | Role: Operative Skilled | Jobs: 402815 | Customers: VEOLIA (Sussex Pathology) | Hours: 3.0</t>
  </si>
  <si>
    <t>Individual Activity Calendar</t>
  </si>
  <si>
    <t>Person</t>
  </si>
  <si>
    <t>Period Start</t>
  </si>
  <si>
    <t>Monday</t>
  </si>
  <si>
    <t>Tuesday</t>
  </si>
  <si>
    <t>Wednesday</t>
  </si>
  <si>
    <t>Thursday</t>
  </si>
  <si>
    <t>Friday</t>
  </si>
  <si>
    <t>Saturday</t>
  </si>
  <si>
    <t>Sunday</t>
  </si>
  <si>
    <t>Daily Detail</t>
  </si>
  <si>
    <t>Day</t>
  </si>
  <si>
    <t>Activity</t>
  </si>
  <si>
    <t>Role</t>
  </si>
  <si>
    <t>Jobs / Customers</t>
  </si>
  <si>
    <t>Full Detail</t>
  </si>
  <si>
    <t>Branch Filter</t>
  </si>
  <si>
    <t>How to Use This Companion Workbook</t>
  </si>
  <si>
    <t>Step</t>
  </si>
  <si>
    <t>Action</t>
  </si>
  <si>
    <t>Use Summary Dashboard!B3 to select All or a branch.</t>
  </si>
  <si>
    <t>KPI cards and charts update automatically.</t>
  </si>
  <si>
    <t>Use Individual Activity!B3 to select a person.</t>
  </si>
  <si>
    <t>Set the start and end dates; the calendar supports up to 42 days.</t>
  </si>
  <si>
    <t>Replace Activity Daily Summary rows during each reporting refresh.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</si>
</sst>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[Red]\(0.0%\);\-"/>
    <numFmt numFmtId="165" formatCode="\£#,##0;[Red]\(\£#,##0\);\-"/>
    <numFmt numFmtId="166" formatCode="0.0;[Red]\(0.0\);\-"/>
    <numFmt numFmtId="167" formatCode="dd\-mmm\-yyyy"/>
    <numFmt numFmtId="168" formatCode="0.0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0" fontId="0" fillId="4" borderId="0" xfId="0" applyFill="1" applyAlignment="1">
      <alignment wrapText="1"/>
    </xf>
    <xf numFmtId="0" fontId="3" fillId="5" borderId="0" xfId="0" applyFont="1" applyFill="1"/>
    <xf numFmtId="164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Co-existence cost by branch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Co-existence Cost (£)</c:v>
          </c:tx>
          <c:invertIfNegative val="1"/>
          <c:cat>
            <c:strRef>
              <c:f>'Summary Dashboard'!$T$2:$T$10</c:f>
              <c:strCache>
                <c:ptCount val="9"/>
                <c:pt idx="0">
                  <c:v>Birmingham</c:v>
                </c:pt>
                <c:pt idx="1">
                  <c:v>Bristol</c:v>
                </c:pt>
                <c:pt idx="2">
                  <c:v>Cambridge</c:v>
                </c:pt>
                <c:pt idx="3">
                  <c:v>Croydon</c:v>
                </c:pt>
                <c:pt idx="4">
                  <c:v>Glasgow</c:v>
                </c:pt>
                <c:pt idx="5">
                  <c:v>Leeds</c:v>
                </c:pt>
                <c:pt idx="6">
                  <c:v>Manchester</c:v>
                </c:pt>
                <c:pt idx="7">
                  <c:v>Oxford</c:v>
                </c:pt>
                <c:pt idx="8">
                  <c:v>Thurrock</c:v>
                </c:pt>
              </c:strCache>
            </c:strRef>
          </c:cat>
          <c:val>
            <c:numRef>
              <c:f>'Summary Dashboard'!$U$2:$U$10</c:f>
              <c:numCache>
                <c:formatCode>General</c:formatCode>
                <c:ptCount val="9"/>
                <c:pt idx="0">
                  <c:v>78320.83123296441</c:v>
                </c:pt>
                <c:pt idx="1">
                  <c:v>12998.509941198627</c:v>
                </c:pt>
                <c:pt idx="2">
                  <c:v>134491.0927615391</c:v>
                </c:pt>
                <c:pt idx="3">
                  <c:v>56011.179613562541</c:v>
                </c:pt>
                <c:pt idx="4">
                  <c:v>41954.727377421696</c:v>
                </c:pt>
                <c:pt idx="5">
                  <c:v>49451.037155861195</c:v>
                </c:pt>
                <c:pt idx="6">
                  <c:v>39935.450407737524</c:v>
                </c:pt>
                <c:pt idx="7">
                  <c:v>33470.678730596999</c:v>
                </c:pt>
                <c:pt idx="8">
                  <c:v>263506.07360265404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9-4EBC-8B12-CF69C2E09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Selected branch cost composition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invertIfNegative val="1"/>
          <c:cat>
            <c:strRef>
              <c:f>'Summary Dashboard'!$N$2:$N$7</c:f>
              <c:strCache>
                <c:ptCount val="6"/>
                <c:pt idx="0">
                  <c:v>Annual Leave</c:v>
                </c:pt>
                <c:pt idx="1">
                  <c:v>Other Leave</c:v>
                </c:pt>
                <c:pt idx="2">
                  <c:v>Operational Under-utilisation</c:v>
                </c:pt>
                <c:pt idx="3">
                  <c:v>Avoidable Agency</c:v>
                </c:pt>
                <c:pt idx="4">
                  <c:v>Structural Agency</c:v>
                </c:pt>
                <c:pt idx="5">
                  <c:v>Internal Recharge</c:v>
                </c:pt>
              </c:strCache>
            </c:strRef>
          </c:cat>
          <c:val>
            <c:numRef>
              <c:f>'Summary Dashboard'!$O$2:$O$7</c:f>
              <c:numCache>
                <c:formatCode>\£#,##0;[Red]\(\£#,##0\);\-</c:formatCode>
                <c:ptCount val="6"/>
                <c:pt idx="0">
                  <c:v>17968.026809334133</c:v>
                </c:pt>
                <c:pt idx="1">
                  <c:v>2487.0860006748926</c:v>
                </c:pt>
                <c:pt idx="2">
                  <c:v>119583.82291837339</c:v>
                </c:pt>
                <c:pt idx="3">
                  <c:v>12420.18384249084</c:v>
                </c:pt>
                <c:pt idx="4">
                  <c:v>3240.4961575091579</c:v>
                </c:pt>
                <c:pt idx="5">
                  <c:v>-3642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C-4EBB-9E38-97B1D5D47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;[Red]\(\£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Selected vs national utilisation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Rate</c:v>
          </c:tx>
          <c:invertIfNegative val="1"/>
          <c:cat>
            <c:strRef>
              <c:f>'Summary Dashboard'!$Q$2:$Q$3</c:f>
              <c:strCache>
                <c:ptCount val="2"/>
                <c:pt idx="0">
                  <c:v>Selected Branch</c:v>
                </c:pt>
                <c:pt idx="1">
                  <c:v>National</c:v>
                </c:pt>
              </c:strCache>
            </c:strRef>
          </c:cat>
          <c:val>
            <c:numRef>
              <c:f>'Summary Dashboard'!$R$2:$R$3</c:f>
              <c:numCache>
                <c:formatCode>0.0%;[Red]\(0.0%\);\-</c:formatCode>
                <c:ptCount val="2"/>
                <c:pt idx="0">
                  <c:v>0.51179762290830966</c:v>
                </c:pt>
                <c:pt idx="1">
                  <c:v>0.80335831525338353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0-4BE1-89F3-B7D7D63FD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20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workbookViewId="0">
      <selection activeCell="B3" sqref="B3"/>
    </sheetView>
  </sheetViews>
  <sheetFormatPr defaultRowHeight="14"/>
  <cols>
    <col min="1" max="1" width="22" customWidth="1"/>
    <col min="2" max="2" width="16" customWidth="1"/>
    <col min="3" max="4" width="18" customWidth="1"/>
    <col min="5" max="6" width="22" customWidth="1"/>
    <col min="7" max="10" width="20" customWidth="1"/>
  </cols>
  <sheetData>
    <row r="1" spans="1:21" ht="20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N1" t="s">
        <v>1</v>
      </c>
      <c r="O1" t="s">
        <v>2</v>
      </c>
      <c r="Q1" t="s">
        <v>3</v>
      </c>
      <c r="R1" t="s">
        <v>4</v>
      </c>
      <c r="T1" t="s">
        <v>5</v>
      </c>
      <c r="U1" t="s">
        <v>6</v>
      </c>
    </row>
    <row r="2" spans="1:21">
      <c r="N2" t="s">
        <v>7</v>
      </c>
      <c r="O2" s="3">
        <f>IF($B$3="All",'Baseline Data'!C13,INDEX('Baseline Data'!$C$4:$C$12,MATCH($B$3,'Baseline Data'!$A$4:$A$12,0)))</f>
        <v>17968.026809334133</v>
      </c>
      <c r="Q2" t="s">
        <v>8</v>
      </c>
      <c r="R2" s="2">
        <f>IF($B$3="All",'Baseline Data'!B13,INDEX('Baseline Data'!$B$4:$B$12,MATCH($B$3,'Baseline Data'!$A$4:$A$12,0)))</f>
        <v>0.51179762290830966</v>
      </c>
      <c r="T2" t="s">
        <v>9</v>
      </c>
      <c r="U2">
        <v>78320.83123296441</v>
      </c>
    </row>
    <row r="3" spans="1:21">
      <c r="A3" s="1" t="s">
        <v>10</v>
      </c>
      <c r="B3" t="s">
        <v>17</v>
      </c>
      <c r="D3" s="9" t="s">
        <v>12</v>
      </c>
      <c r="E3" s="9"/>
      <c r="F3" s="9"/>
      <c r="G3" s="9"/>
      <c r="H3" s="9"/>
      <c r="I3" s="9"/>
      <c r="J3" s="9"/>
      <c r="K3" s="9"/>
      <c r="L3" s="9"/>
      <c r="N3" t="s">
        <v>13</v>
      </c>
      <c r="O3" s="3">
        <f>IF($B$3="All",'Baseline Data'!D13,INDEX('Baseline Data'!$D$4:$D$12,MATCH($B$3,'Baseline Data'!$A$4:$A$12,0)))</f>
        <v>2487.0860006748926</v>
      </c>
      <c r="Q3" t="s">
        <v>14</v>
      </c>
      <c r="R3" s="2">
        <v>0.80335831525338353</v>
      </c>
      <c r="T3" t="s">
        <v>15</v>
      </c>
      <c r="U3">
        <v>12998.509941198627</v>
      </c>
    </row>
    <row r="4" spans="1:21">
      <c r="N4" t="s">
        <v>16</v>
      </c>
      <c r="O4" s="3">
        <f>IF($B$3="All",'Baseline Data'!E13,INDEX('Baseline Data'!$E$4:$E$12,MATCH($B$3,'Baseline Data'!$A$4:$A$12,0)))</f>
        <v>119583.82291837339</v>
      </c>
      <c r="T4" t="s">
        <v>17</v>
      </c>
      <c r="U4">
        <v>134491.0927615391</v>
      </c>
    </row>
    <row r="5" spans="1:21">
      <c r="A5" s="10" t="s">
        <v>18</v>
      </c>
      <c r="B5" s="10"/>
      <c r="C5" s="10" t="s">
        <v>19</v>
      </c>
      <c r="D5" s="10"/>
      <c r="E5" s="10" t="s">
        <v>20</v>
      </c>
      <c r="F5" s="10"/>
      <c r="G5" s="10" t="s">
        <v>16</v>
      </c>
      <c r="H5" s="10"/>
      <c r="I5" s="10" t="s">
        <v>21</v>
      </c>
      <c r="J5" s="10"/>
      <c r="K5" s="10" t="s">
        <v>22</v>
      </c>
      <c r="L5" s="10"/>
      <c r="N5" t="s">
        <v>23</v>
      </c>
      <c r="O5" s="3">
        <f>IF($B$3="All",'Baseline Data'!G13,INDEX('Baseline Data'!$G$4:$G$12,MATCH($B$3,'Baseline Data'!$A$4:$A$12,0)))</f>
        <v>12420.18384249084</v>
      </c>
      <c r="T5" t="s">
        <v>24</v>
      </c>
      <c r="U5">
        <v>56011.179613562541</v>
      </c>
    </row>
    <row r="6" spans="1:21">
      <c r="A6" s="11">
        <f>IF($B$3="All",'Baseline Data'!B13,INDEX('Baseline Data'!$B$4:$B$12,MATCH($B$3,'Baseline Data'!$A$4:$A$12,0)))</f>
        <v>0.51179762290830966</v>
      </c>
      <c r="B6" s="12"/>
      <c r="C6" s="13">
        <f>IF($B$3="All",'Baseline Data'!C13,INDEX('Baseline Data'!$C$4:$C$12,MATCH($B$3,'Baseline Data'!$A$4:$A$12,0)))</f>
        <v>17968.026809334133</v>
      </c>
      <c r="D6" s="12"/>
      <c r="E6" s="13">
        <f>IF($B$3="All",'Baseline Data'!D13,INDEX('Baseline Data'!$D$4:$D$12,MATCH($B$3,'Baseline Data'!$A$4:$A$12,0)))</f>
        <v>2487.0860006748926</v>
      </c>
      <c r="F6" s="12"/>
      <c r="G6" s="13">
        <f>IF($B$3="All",'Baseline Data'!E13,INDEX('Baseline Data'!$E$4:$E$12,MATCH($B$3,'Baseline Data'!$A$4:$A$12,0)))</f>
        <v>119583.82291837339</v>
      </c>
      <c r="H6" s="12"/>
      <c r="I6" s="13">
        <f>IF($B$3="All",'Baseline Data'!G13,INDEX('Baseline Data'!$G$4:$G$12,MATCH($B$3,'Baseline Data'!$A$4:$A$12,0)))</f>
        <v>12420.18384249084</v>
      </c>
      <c r="J6" s="12"/>
      <c r="K6" s="13">
        <f>IF($B$3="All",'Baseline Data'!I13,INDEX('Baseline Data'!$I$4:$I$12,MATCH($B$3,'Baseline Data'!$A$4:$A$12,0)))</f>
        <v>134491.0927615391</v>
      </c>
      <c r="L6" s="12"/>
      <c r="N6" t="s">
        <v>25</v>
      </c>
      <c r="O6" s="3">
        <f>IF($B$3="All",'Baseline Data'!H13,INDEX('Baseline Data'!$H$4:$H$12,MATCH($B$3,'Baseline Data'!$A$4:$A$12,0)))</f>
        <v>3240.4961575091579</v>
      </c>
      <c r="T6" t="s">
        <v>26</v>
      </c>
      <c r="U6">
        <v>41954.727377421696</v>
      </c>
    </row>
    <row r="7" spans="1:2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N7" t="s">
        <v>27</v>
      </c>
      <c r="O7" s="3">
        <f>IF($B$3="All",'Baseline Data'!J13,INDEX('Baseline Data'!$J$4:$J$12,MATCH($B$3,'Baseline Data'!$A$4:$A$12,0)))</f>
        <v>-3642</v>
      </c>
      <c r="T7" t="s">
        <v>28</v>
      </c>
      <c r="U7">
        <v>49451.037155861195</v>
      </c>
    </row>
    <row r="8" spans="1:21">
      <c r="T8" t="s">
        <v>29</v>
      </c>
      <c r="U8">
        <v>39935.450407737524</v>
      </c>
    </row>
    <row r="9" spans="1:21">
      <c r="T9" t="s">
        <v>30</v>
      </c>
      <c r="U9">
        <v>33470.678730596999</v>
      </c>
    </row>
    <row r="10" spans="1:21" ht="28">
      <c r="A10" s="1" t="s">
        <v>5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1" t="s">
        <v>36</v>
      </c>
      <c r="H10" s="1" t="s">
        <v>37</v>
      </c>
      <c r="I10" s="1" t="s">
        <v>38</v>
      </c>
      <c r="J10" s="1" t="s">
        <v>39</v>
      </c>
      <c r="T10" t="s">
        <v>40</v>
      </c>
      <c r="U10">
        <v>263506.07360265404</v>
      </c>
    </row>
    <row r="11" spans="1:21">
      <c r="A11" t="s">
        <v>9</v>
      </c>
      <c r="B11" s="2">
        <v>0.81685426191243582</v>
      </c>
      <c r="C11" s="3">
        <v>20835.907438615053</v>
      </c>
      <c r="D11" s="3">
        <v>731.81470186279603</v>
      </c>
      <c r="E11" s="3">
        <v>49219.674578707141</v>
      </c>
      <c r="F11" s="3">
        <v>49951.489280569935</v>
      </c>
      <c r="G11" s="3">
        <v>28369.341952394476</v>
      </c>
      <c r="H11" s="3">
        <v>66147.128047605511</v>
      </c>
      <c r="I11" s="3">
        <v>78320.83123296441</v>
      </c>
      <c r="J11" s="3">
        <v>7598.1</v>
      </c>
    </row>
    <row r="12" spans="1:21">
      <c r="A12" t="s">
        <v>15</v>
      </c>
      <c r="B12" s="2">
        <v>0.81599115192945859</v>
      </c>
      <c r="C12" s="3">
        <v>2779.7198495237326</v>
      </c>
      <c r="D12" s="3">
        <v>0</v>
      </c>
      <c r="E12" s="3">
        <v>6718.7349664844132</v>
      </c>
      <c r="F12" s="3">
        <v>6718.7349664844132</v>
      </c>
      <c r="G12" s="3">
        <v>6279.7749747142125</v>
      </c>
      <c r="H12" s="3">
        <v>35179.335025285785</v>
      </c>
      <c r="I12" s="3">
        <v>12998.509941198627</v>
      </c>
      <c r="J12" s="3">
        <v>-3108</v>
      </c>
    </row>
    <row r="13" spans="1:21">
      <c r="A13" t="s">
        <v>17</v>
      </c>
      <c r="B13" s="2">
        <v>0.51179762290830966</v>
      </c>
      <c r="C13" s="3">
        <v>17968.026809334133</v>
      </c>
      <c r="D13" s="3">
        <v>2487.0860006748926</v>
      </c>
      <c r="E13" s="3">
        <v>119583.82291837339</v>
      </c>
      <c r="F13" s="3">
        <v>122070.90891904828</v>
      </c>
      <c r="G13" s="3">
        <v>12420.18384249084</v>
      </c>
      <c r="H13" s="3">
        <v>3240.4961575091579</v>
      </c>
      <c r="I13" s="3">
        <v>134491.0927615391</v>
      </c>
      <c r="J13" s="3">
        <v>-3642</v>
      </c>
    </row>
    <row r="14" spans="1:21">
      <c r="A14" t="s">
        <v>24</v>
      </c>
      <c r="B14" s="2">
        <v>0.84456026982463062</v>
      </c>
      <c r="C14" s="3">
        <v>24766.221891483361</v>
      </c>
      <c r="D14" s="3">
        <v>892.95262399384069</v>
      </c>
      <c r="E14" s="3">
        <v>37303.471670011611</v>
      </c>
      <c r="F14" s="3">
        <v>38196.424294005454</v>
      </c>
      <c r="G14" s="3">
        <v>17814.755319557098</v>
      </c>
      <c r="H14" s="3">
        <v>58303.994680442913</v>
      </c>
      <c r="I14" s="3">
        <v>56011.179613562541</v>
      </c>
      <c r="J14" s="3">
        <v>-6552.5</v>
      </c>
    </row>
    <row r="15" spans="1:21">
      <c r="A15" t="s">
        <v>26</v>
      </c>
      <c r="B15" s="2">
        <v>0.7034874330804054</v>
      </c>
      <c r="C15" s="3">
        <v>5380.0164680573334</v>
      </c>
      <c r="D15" s="3">
        <v>839.09037719110404</v>
      </c>
      <c r="E15" s="3">
        <v>23379.100301635088</v>
      </c>
      <c r="F15" s="3">
        <v>24218.190678826191</v>
      </c>
      <c r="G15" s="3">
        <v>17736.536698595501</v>
      </c>
      <c r="H15" s="3">
        <v>60612.163301404493</v>
      </c>
      <c r="I15" s="3">
        <v>41954.727377421696</v>
      </c>
      <c r="J15" s="3">
        <v>5504</v>
      </c>
    </row>
    <row r="16" spans="1:21">
      <c r="A16" t="s">
        <v>28</v>
      </c>
      <c r="B16" s="2">
        <v>0.7650168394204232</v>
      </c>
      <c r="C16" s="3">
        <v>8904.1361741891324</v>
      </c>
      <c r="D16" s="3">
        <v>52.283183125599237</v>
      </c>
      <c r="E16" s="3">
        <v>27638.671817303282</v>
      </c>
      <c r="F16" s="3">
        <v>27690.955000428879</v>
      </c>
      <c r="G16" s="3">
        <v>21760.082155432327</v>
      </c>
      <c r="H16" s="3">
        <v>116832.74784456767</v>
      </c>
      <c r="I16" s="3">
        <v>49451.037155861195</v>
      </c>
      <c r="J16" s="3">
        <v>22924.34</v>
      </c>
    </row>
    <row r="17" spans="1:10">
      <c r="A17" t="s">
        <v>29</v>
      </c>
      <c r="B17" s="2">
        <v>0.7713220866025392</v>
      </c>
      <c r="C17" s="3">
        <v>19136.894168994819</v>
      </c>
      <c r="D17" s="3">
        <v>4889.1533608776836</v>
      </c>
      <c r="E17" s="3">
        <v>28516.131518014623</v>
      </c>
      <c r="F17" s="3">
        <v>33405.284878892315</v>
      </c>
      <c r="G17" s="3">
        <v>6530.1655288452184</v>
      </c>
      <c r="H17" s="3">
        <v>35089.10447115478</v>
      </c>
      <c r="I17" s="3">
        <v>39935.450407737524</v>
      </c>
      <c r="J17" s="3">
        <v>-40189.94</v>
      </c>
    </row>
    <row r="18" spans="1:10">
      <c r="A18" t="s">
        <v>30</v>
      </c>
      <c r="B18" s="2">
        <v>0.61594624999049263</v>
      </c>
      <c r="C18" s="3">
        <v>9009.9948619141414</v>
      </c>
      <c r="D18" s="3">
        <v>2250.0006612942611</v>
      </c>
      <c r="E18" s="3">
        <v>27002.784878826547</v>
      </c>
      <c r="F18" s="3">
        <v>29252.785540120807</v>
      </c>
      <c r="G18" s="3">
        <v>4217.8931904761912</v>
      </c>
      <c r="H18" s="3">
        <v>5691.5468095238093</v>
      </c>
      <c r="I18" s="3">
        <v>33470.678730596999</v>
      </c>
      <c r="J18" s="3">
        <v>9799</v>
      </c>
    </row>
    <row r="19" spans="1:10">
      <c r="A19" t="s">
        <v>40</v>
      </c>
      <c r="B19" s="2">
        <v>0.88300312335670994</v>
      </c>
      <c r="C19" s="3">
        <v>145306.62998391106</v>
      </c>
      <c r="D19" s="3">
        <v>36170.748933551979</v>
      </c>
      <c r="E19" s="3">
        <v>136284.32344702946</v>
      </c>
      <c r="F19" s="3">
        <v>172455.07238058141</v>
      </c>
      <c r="G19" s="3">
        <v>91051.001222072548</v>
      </c>
      <c r="H19" s="3">
        <v>175500.05877792742</v>
      </c>
      <c r="I19" s="3">
        <v>263506.07360265404</v>
      </c>
      <c r="J19" s="3">
        <v>7667</v>
      </c>
    </row>
    <row r="21" spans="1:10">
      <c r="A21" s="1" t="s">
        <v>41</v>
      </c>
      <c r="B21" s="1" t="s">
        <v>2</v>
      </c>
      <c r="C21" s="1" t="s">
        <v>42</v>
      </c>
    </row>
    <row r="22" spans="1:10">
      <c r="A22" t="s">
        <v>43</v>
      </c>
      <c r="B22" s="3">
        <f>'Baseline Data'!J13</f>
        <v>0</v>
      </c>
      <c r="C22" t="str">
        <f>IF(ABS(B22)&lt;0.01,"PASS — £0 nationally","REVIEW")</f>
        <v>PASS — £0 nationally</v>
      </c>
    </row>
    <row r="23" spans="1:10">
      <c r="A23" t="s">
        <v>44</v>
      </c>
      <c r="B23" s="2">
        <f>IF($B$3="All",'Current Period'!B13,INDEX('Current Period'!$B$4:$B$12,MATCH($B$3,'Current Period'!$A$4:$A$12,0)))</f>
        <v>0.56958877799499263</v>
      </c>
      <c r="C23" t="s">
        <v>45</v>
      </c>
    </row>
  </sheetData>
  <mergeCells count="14">
    <mergeCell ref="A1:L1"/>
    <mergeCell ref="D3:L3"/>
    <mergeCell ref="A5:B5"/>
    <mergeCell ref="A6:B7"/>
    <mergeCell ref="C5:D5"/>
    <mergeCell ref="C6:D7"/>
    <mergeCell ref="E5:F5"/>
    <mergeCell ref="E6:F7"/>
    <mergeCell ref="G5:H5"/>
    <mergeCell ref="G6:H7"/>
    <mergeCell ref="I5:J5"/>
    <mergeCell ref="I6:J7"/>
    <mergeCell ref="K5:L5"/>
    <mergeCell ref="K6:L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Lists!$A$2:$A$11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sqref="A1:J1"/>
    </sheetView>
  </sheetViews>
  <sheetFormatPr defaultRowHeight="14"/>
  <cols>
    <col min="1" max="2" width="18" customWidth="1"/>
    <col min="3" max="4" width="20" customWidth="1"/>
    <col min="5" max="5" width="24" customWidth="1"/>
    <col min="6" max="6" width="22" customWidth="1"/>
    <col min="7" max="9" width="20" customWidth="1"/>
    <col min="10" max="10" width="24" customWidth="1"/>
  </cols>
  <sheetData>
    <row r="1" spans="1:10" ht="20">
      <c r="A1" s="8" t="s">
        <v>46</v>
      </c>
      <c r="B1" s="8"/>
      <c r="C1" s="8"/>
      <c r="D1" s="8"/>
      <c r="E1" s="8"/>
      <c r="F1" s="8"/>
      <c r="G1" s="8"/>
      <c r="H1" s="8"/>
      <c r="I1" s="8"/>
      <c r="J1" s="8"/>
    </row>
    <row r="3" spans="1:10" ht="28">
      <c r="A3" s="1" t="s">
        <v>5</v>
      </c>
      <c r="B3" s="1" t="s">
        <v>18</v>
      </c>
      <c r="C3" s="1" t="s">
        <v>47</v>
      </c>
      <c r="D3" s="1" t="s">
        <v>48</v>
      </c>
      <c r="E3" s="1" t="s">
        <v>49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50</v>
      </c>
    </row>
    <row r="4" spans="1:10">
      <c r="A4" t="s">
        <v>9</v>
      </c>
      <c r="B4" s="2">
        <v>0.81685426191243582</v>
      </c>
      <c r="C4" s="3">
        <v>20835.907438615053</v>
      </c>
      <c r="D4" s="3">
        <v>731.81470186279603</v>
      </c>
      <c r="E4" s="3">
        <v>49219.674578707141</v>
      </c>
      <c r="F4" s="3">
        <v>49951.489280569935</v>
      </c>
      <c r="G4" s="3">
        <v>28369.341952394476</v>
      </c>
      <c r="H4" s="3">
        <v>66147.128047605511</v>
      </c>
      <c r="I4" s="3">
        <v>78320.83123296441</v>
      </c>
      <c r="J4" s="3">
        <v>7598.1</v>
      </c>
    </row>
    <row r="5" spans="1:10">
      <c r="A5" t="s">
        <v>15</v>
      </c>
      <c r="B5" s="2">
        <v>0.81599115192945859</v>
      </c>
      <c r="C5" s="3">
        <v>2779.7198495237326</v>
      </c>
      <c r="D5" s="3">
        <v>0</v>
      </c>
      <c r="E5" s="3">
        <v>6718.7349664844132</v>
      </c>
      <c r="F5" s="3">
        <v>6718.7349664844132</v>
      </c>
      <c r="G5" s="3">
        <v>6279.7749747142125</v>
      </c>
      <c r="H5" s="3">
        <v>35179.335025285785</v>
      </c>
      <c r="I5" s="3">
        <v>12998.509941198627</v>
      </c>
      <c r="J5" s="3">
        <v>-3108</v>
      </c>
    </row>
    <row r="6" spans="1:10">
      <c r="A6" t="s">
        <v>17</v>
      </c>
      <c r="B6" s="2">
        <v>0.51179762290830966</v>
      </c>
      <c r="C6" s="3">
        <v>17968.026809334133</v>
      </c>
      <c r="D6" s="3">
        <v>2487.0860006748926</v>
      </c>
      <c r="E6" s="3">
        <v>119583.82291837339</v>
      </c>
      <c r="F6" s="3">
        <v>122070.90891904828</v>
      </c>
      <c r="G6" s="3">
        <v>12420.18384249084</v>
      </c>
      <c r="H6" s="3">
        <v>3240.4961575091579</v>
      </c>
      <c r="I6" s="3">
        <v>134491.0927615391</v>
      </c>
      <c r="J6" s="3">
        <v>-3642</v>
      </c>
    </row>
    <row r="7" spans="1:10">
      <c r="A7" t="s">
        <v>24</v>
      </c>
      <c r="B7" s="2">
        <v>0.84456026982463062</v>
      </c>
      <c r="C7" s="3">
        <v>24766.221891483361</v>
      </c>
      <c r="D7" s="3">
        <v>892.95262399384069</v>
      </c>
      <c r="E7" s="3">
        <v>37303.471670011611</v>
      </c>
      <c r="F7" s="3">
        <v>38196.424294005454</v>
      </c>
      <c r="G7" s="3">
        <v>17814.755319557098</v>
      </c>
      <c r="H7" s="3">
        <v>58303.994680442913</v>
      </c>
      <c r="I7" s="3">
        <v>56011.179613562541</v>
      </c>
      <c r="J7" s="3">
        <v>-6552.5</v>
      </c>
    </row>
    <row r="8" spans="1:10">
      <c r="A8" t="s">
        <v>26</v>
      </c>
      <c r="B8" s="2">
        <v>0.7034874330804054</v>
      </c>
      <c r="C8" s="3">
        <v>5380.0164680573334</v>
      </c>
      <c r="D8" s="3">
        <v>839.09037719110404</v>
      </c>
      <c r="E8" s="3">
        <v>23379.100301635088</v>
      </c>
      <c r="F8" s="3">
        <v>24218.190678826191</v>
      </c>
      <c r="G8" s="3">
        <v>17736.536698595501</v>
      </c>
      <c r="H8" s="3">
        <v>60612.163301404493</v>
      </c>
      <c r="I8" s="3">
        <v>41954.727377421696</v>
      </c>
      <c r="J8" s="3">
        <v>5504</v>
      </c>
    </row>
    <row r="9" spans="1:10">
      <c r="A9" t="s">
        <v>28</v>
      </c>
      <c r="B9" s="2">
        <v>0.7650168394204232</v>
      </c>
      <c r="C9" s="3">
        <v>8904.1361741891324</v>
      </c>
      <c r="D9" s="3">
        <v>52.283183125599237</v>
      </c>
      <c r="E9" s="3">
        <v>27638.671817303282</v>
      </c>
      <c r="F9" s="3">
        <v>27690.955000428879</v>
      </c>
      <c r="G9" s="3">
        <v>21760.082155432327</v>
      </c>
      <c r="H9" s="3">
        <v>116832.74784456767</v>
      </c>
      <c r="I9" s="3">
        <v>49451.037155861195</v>
      </c>
      <c r="J9" s="3">
        <v>22924.34</v>
      </c>
    </row>
    <row r="10" spans="1:10">
      <c r="A10" t="s">
        <v>29</v>
      </c>
      <c r="B10" s="2">
        <v>0.7713220866025392</v>
      </c>
      <c r="C10" s="3">
        <v>19136.894168994819</v>
      </c>
      <c r="D10" s="3">
        <v>4889.1533608776836</v>
      </c>
      <c r="E10" s="3">
        <v>28516.131518014623</v>
      </c>
      <c r="F10" s="3">
        <v>33405.284878892315</v>
      </c>
      <c r="G10" s="3">
        <v>6530.1655288452184</v>
      </c>
      <c r="H10" s="3">
        <v>35089.10447115478</v>
      </c>
      <c r="I10" s="3">
        <v>39935.450407737524</v>
      </c>
      <c r="J10" s="3">
        <v>-40189.94</v>
      </c>
    </row>
    <row r="11" spans="1:10">
      <c r="A11" t="s">
        <v>30</v>
      </c>
      <c r="B11" s="2">
        <v>0.61594624999049263</v>
      </c>
      <c r="C11" s="3">
        <v>9009.9948619141414</v>
      </c>
      <c r="D11" s="3">
        <v>2250.0006612942611</v>
      </c>
      <c r="E11" s="3">
        <v>27002.784878826547</v>
      </c>
      <c r="F11" s="3">
        <v>29252.785540120807</v>
      </c>
      <c r="G11" s="3">
        <v>4217.8931904761912</v>
      </c>
      <c r="H11" s="3">
        <v>5691.5468095238093</v>
      </c>
      <c r="I11" s="3">
        <v>33470.678730596999</v>
      </c>
      <c r="J11" s="3">
        <v>9799</v>
      </c>
    </row>
    <row r="12" spans="1:10">
      <c r="A12" t="s">
        <v>40</v>
      </c>
      <c r="B12" s="2">
        <v>0.88300312335670994</v>
      </c>
      <c r="C12" s="3">
        <v>145306.62998391106</v>
      </c>
      <c r="D12" s="3">
        <v>36170.748933551979</v>
      </c>
      <c r="E12" s="3">
        <v>136284.32344702946</v>
      </c>
      <c r="F12" s="3">
        <v>172455.07238058141</v>
      </c>
      <c r="G12" s="3">
        <v>91051.001222072548</v>
      </c>
      <c r="H12" s="3">
        <v>175500.05877792742</v>
      </c>
      <c r="I12" s="3">
        <v>263506.07360265404</v>
      </c>
      <c r="J12" s="3">
        <v>7667</v>
      </c>
    </row>
    <row r="13" spans="1:10">
      <c r="A13" t="s">
        <v>14</v>
      </c>
      <c r="B13" s="2">
        <v>0.80335831525338353</v>
      </c>
      <c r="C13" s="3">
        <v>254087.54764602275</v>
      </c>
      <c r="D13" s="3">
        <v>48313.129842572154</v>
      </c>
      <c r="E13" s="3">
        <v>455646.71609638556</v>
      </c>
      <c r="F13" s="3">
        <v>503959.84593895765</v>
      </c>
      <c r="G13" s="3">
        <v>206179.73488457839</v>
      </c>
      <c r="H13" s="3">
        <v>556596.57511542155</v>
      </c>
      <c r="I13" s="3">
        <v>710139.58082353615</v>
      </c>
      <c r="J13" s="3">
        <v>0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sqref="A1:C1"/>
    </sheetView>
  </sheetViews>
  <sheetFormatPr defaultRowHeight="14"/>
  <sheetData>
    <row r="1" spans="1:3" ht="20">
      <c r="A1" s="8" t="s">
        <v>51</v>
      </c>
      <c r="B1" s="8"/>
      <c r="C1" s="8"/>
    </row>
    <row r="3" spans="1:3" ht="42">
      <c r="A3" s="1" t="s">
        <v>5</v>
      </c>
      <c r="B3" s="1" t="s">
        <v>18</v>
      </c>
      <c r="C3" s="1" t="s">
        <v>52</v>
      </c>
    </row>
    <row r="4" spans="1:3">
      <c r="A4" t="s">
        <v>9</v>
      </c>
      <c r="B4" s="2">
        <v>0.81940298507462694</v>
      </c>
      <c r="C4" s="4">
        <v>79</v>
      </c>
    </row>
    <row r="5" spans="1:3">
      <c r="A5" t="s">
        <v>15</v>
      </c>
      <c r="B5" s="2">
        <v>0.84316974881157036</v>
      </c>
      <c r="C5" s="4">
        <v>41</v>
      </c>
    </row>
    <row r="6" spans="1:3">
      <c r="A6" t="s">
        <v>17</v>
      </c>
      <c r="B6" s="2">
        <v>0.56958877799499263</v>
      </c>
      <c r="C6" s="4">
        <v>13</v>
      </c>
    </row>
    <row r="7" spans="1:3">
      <c r="A7" t="s">
        <v>24</v>
      </c>
      <c r="B7" s="2">
        <v>0.69579436755196922</v>
      </c>
      <c r="C7" s="4">
        <v>113</v>
      </c>
    </row>
    <row r="8" spans="1:3">
      <c r="A8" t="s">
        <v>26</v>
      </c>
      <c r="B8" s="2">
        <v>0.77741283784231052</v>
      </c>
      <c r="C8" s="4">
        <v>50</v>
      </c>
    </row>
    <row r="9" spans="1:3">
      <c r="A9" t="s">
        <v>28</v>
      </c>
      <c r="B9" s="2">
        <v>0.77327935222672062</v>
      </c>
      <c r="C9" s="4">
        <v>51</v>
      </c>
    </row>
    <row r="10" spans="1:3">
      <c r="A10" t="s">
        <v>29</v>
      </c>
      <c r="B10" s="2">
        <v>0.81613756613756605</v>
      </c>
      <c r="C10" s="4">
        <v>4</v>
      </c>
    </row>
    <row r="11" spans="1:3">
      <c r="A11" t="s">
        <v>30</v>
      </c>
      <c r="B11" s="2">
        <v>0.37333333333333335</v>
      </c>
      <c r="C11" s="4">
        <v>10</v>
      </c>
    </row>
    <row r="12" spans="1:3">
      <c r="A12" t="s">
        <v>40</v>
      </c>
      <c r="B12" s="2">
        <v>0.82456707955876007</v>
      </c>
      <c r="C12" s="4">
        <v>159</v>
      </c>
    </row>
    <row r="13" spans="1:3">
      <c r="A13" t="s">
        <v>14</v>
      </c>
      <c r="B13" s="2">
        <v>0.7632000622395535</v>
      </c>
      <c r="C13" s="4">
        <v>520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54"/>
  <sheetViews>
    <sheetView workbookViewId="0">
      <selection sqref="A1:K1"/>
    </sheetView>
  </sheetViews>
  <sheetFormatPr defaultRowHeight="14"/>
  <cols>
    <col min="1" max="1" width="38" customWidth="1"/>
    <col min="2" max="2" width="14" customWidth="1"/>
    <col min="3" max="3" width="28" customWidth="1"/>
    <col min="4" max="4" width="18" customWidth="1"/>
    <col min="5" max="6" width="22" customWidth="1"/>
    <col min="7" max="7" width="26" customWidth="1"/>
    <col min="8" max="8" width="34" customWidth="1"/>
    <col min="9" max="9" width="14" customWidth="1"/>
    <col min="10" max="10" width="30" customWidth="1"/>
    <col min="11" max="11" width="70" customWidth="1"/>
  </cols>
  <sheetData>
    <row r="1" spans="1:11" ht="20">
      <c r="A1" s="8" t="s">
        <v>53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64</v>
      </c>
    </row>
    <row r="4" spans="1:11">
      <c r="A4" t="s">
        <v>65</v>
      </c>
      <c r="B4" s="5">
        <v>46204</v>
      </c>
      <c r="C4" t="s">
        <v>66</v>
      </c>
      <c r="D4" t="s">
        <v>67</v>
      </c>
      <c r="E4" t="s">
        <v>40</v>
      </c>
      <c r="F4" t="s">
        <v>68</v>
      </c>
      <c r="G4" t="s">
        <v>69</v>
      </c>
      <c r="H4" t="s">
        <v>70</v>
      </c>
      <c r="I4" s="6">
        <v>7.5</v>
      </c>
      <c r="J4" t="s">
        <v>71</v>
      </c>
      <c r="K4" t="s">
        <v>72</v>
      </c>
    </row>
    <row r="5" spans="1:11">
      <c r="A5" t="s">
        <v>73</v>
      </c>
      <c r="B5" s="5">
        <v>46205</v>
      </c>
      <c r="C5" t="s">
        <v>66</v>
      </c>
      <c r="D5" t="s">
        <v>67</v>
      </c>
      <c r="E5" t="s">
        <v>40</v>
      </c>
      <c r="F5" t="s">
        <v>68</v>
      </c>
      <c r="G5" t="s">
        <v>74</v>
      </c>
      <c r="H5" t="s">
        <v>75</v>
      </c>
      <c r="I5" s="6">
        <v>5.5</v>
      </c>
      <c r="J5" t="s">
        <v>71</v>
      </c>
      <c r="K5" t="s">
        <v>76</v>
      </c>
    </row>
    <row r="6" spans="1:11">
      <c r="A6" t="s">
        <v>77</v>
      </c>
      <c r="B6" s="5">
        <v>46206</v>
      </c>
      <c r="C6" t="s">
        <v>66</v>
      </c>
      <c r="D6" t="s">
        <v>67</v>
      </c>
      <c r="E6" t="s">
        <v>40</v>
      </c>
      <c r="F6" t="s">
        <v>68</v>
      </c>
      <c r="G6" t="s">
        <v>74</v>
      </c>
      <c r="H6" t="s">
        <v>75</v>
      </c>
      <c r="I6" s="6">
        <v>17</v>
      </c>
      <c r="J6" t="s">
        <v>71</v>
      </c>
      <c r="K6" t="s">
        <v>78</v>
      </c>
    </row>
    <row r="7" spans="1:11">
      <c r="A7" t="s">
        <v>79</v>
      </c>
      <c r="B7" s="5">
        <v>46209</v>
      </c>
      <c r="C7" t="s">
        <v>66</v>
      </c>
      <c r="D7" t="s">
        <v>67</v>
      </c>
      <c r="E7" t="s">
        <v>40</v>
      </c>
      <c r="F7" t="s">
        <v>68</v>
      </c>
      <c r="G7" t="s">
        <v>74</v>
      </c>
      <c r="H7" t="s">
        <v>75</v>
      </c>
      <c r="I7" s="6">
        <v>11.5</v>
      </c>
      <c r="J7" t="s">
        <v>71</v>
      </c>
      <c r="K7" t="s">
        <v>80</v>
      </c>
    </row>
    <row r="8" spans="1:11">
      <c r="A8" t="s">
        <v>81</v>
      </c>
      <c r="B8" s="5">
        <v>46210</v>
      </c>
      <c r="C8" t="s">
        <v>66</v>
      </c>
      <c r="D8" t="s">
        <v>67</v>
      </c>
      <c r="E8" t="s">
        <v>40</v>
      </c>
      <c r="F8" t="s">
        <v>82</v>
      </c>
      <c r="G8" t="s">
        <v>83</v>
      </c>
      <c r="H8" t="s">
        <v>84</v>
      </c>
      <c r="I8" s="6">
        <v>8.5</v>
      </c>
      <c r="J8" t="s">
        <v>71</v>
      </c>
      <c r="K8" t="s">
        <v>85</v>
      </c>
    </row>
    <row r="9" spans="1:11">
      <c r="A9" t="s">
        <v>86</v>
      </c>
      <c r="B9" s="5">
        <v>46211</v>
      </c>
      <c r="C9" t="s">
        <v>66</v>
      </c>
      <c r="D9" t="s">
        <v>67</v>
      </c>
      <c r="E9" t="s">
        <v>40</v>
      </c>
      <c r="F9" t="s">
        <v>82</v>
      </c>
      <c r="G9" t="s">
        <v>83</v>
      </c>
      <c r="H9" t="s">
        <v>84</v>
      </c>
      <c r="I9" s="6">
        <v>8</v>
      </c>
      <c r="J9" t="s">
        <v>71</v>
      </c>
      <c r="K9" t="s">
        <v>87</v>
      </c>
    </row>
    <row r="10" spans="1:11">
      <c r="A10" t="s">
        <v>88</v>
      </c>
      <c r="B10" s="5">
        <v>46212</v>
      </c>
      <c r="C10" t="s">
        <v>66</v>
      </c>
      <c r="D10" t="s">
        <v>67</v>
      </c>
      <c r="E10" t="s">
        <v>40</v>
      </c>
      <c r="F10" t="s">
        <v>82</v>
      </c>
      <c r="G10" t="s">
        <v>89</v>
      </c>
      <c r="H10" t="s">
        <v>90</v>
      </c>
      <c r="I10" s="6">
        <v>8.5</v>
      </c>
      <c r="J10" t="s">
        <v>71</v>
      </c>
      <c r="K10" t="s">
        <v>91</v>
      </c>
    </row>
    <row r="11" spans="1:11">
      <c r="A11" t="s">
        <v>92</v>
      </c>
      <c r="B11" s="5">
        <v>46213</v>
      </c>
      <c r="C11" t="s">
        <v>66</v>
      </c>
      <c r="D11" t="s">
        <v>67</v>
      </c>
      <c r="E11" t="s">
        <v>40</v>
      </c>
      <c r="F11" t="s">
        <v>68</v>
      </c>
      <c r="G11" t="s">
        <v>93</v>
      </c>
      <c r="H11" t="s">
        <v>94</v>
      </c>
      <c r="I11" s="6">
        <v>15</v>
      </c>
      <c r="J11" t="s">
        <v>95</v>
      </c>
      <c r="K11" t="s">
        <v>96</v>
      </c>
    </row>
    <row r="12" spans="1:11">
      <c r="A12" t="s">
        <v>97</v>
      </c>
      <c r="B12" s="5">
        <v>46214</v>
      </c>
      <c r="C12" t="s">
        <v>66</v>
      </c>
      <c r="D12" t="s">
        <v>67</v>
      </c>
      <c r="E12" t="s">
        <v>40</v>
      </c>
      <c r="F12" t="s">
        <v>68</v>
      </c>
      <c r="G12" t="s">
        <v>98</v>
      </c>
      <c r="H12" t="s">
        <v>99</v>
      </c>
      <c r="I12" s="6">
        <v>8.5</v>
      </c>
      <c r="J12" t="s">
        <v>71</v>
      </c>
      <c r="K12" t="s">
        <v>100</v>
      </c>
    </row>
    <row r="13" spans="1:11">
      <c r="A13" t="s">
        <v>101</v>
      </c>
      <c r="B13" s="5">
        <v>46216</v>
      </c>
      <c r="C13" t="s">
        <v>66</v>
      </c>
      <c r="D13" t="s">
        <v>67</v>
      </c>
      <c r="E13" t="s">
        <v>40</v>
      </c>
      <c r="F13" t="s">
        <v>68</v>
      </c>
      <c r="G13" t="s">
        <v>102</v>
      </c>
      <c r="H13" t="s">
        <v>103</v>
      </c>
      <c r="I13" s="6">
        <v>8.5</v>
      </c>
      <c r="J13" t="s">
        <v>71</v>
      </c>
      <c r="K13" t="s">
        <v>104</v>
      </c>
    </row>
    <row r="14" spans="1:11">
      <c r="A14" t="s">
        <v>105</v>
      </c>
      <c r="B14" s="5">
        <v>46217</v>
      </c>
      <c r="C14" t="s">
        <v>66</v>
      </c>
      <c r="D14" t="s">
        <v>67</v>
      </c>
      <c r="E14" t="s">
        <v>40</v>
      </c>
      <c r="F14" t="s">
        <v>68</v>
      </c>
      <c r="G14" t="s">
        <v>102</v>
      </c>
      <c r="H14" t="s">
        <v>103</v>
      </c>
      <c r="I14" s="6">
        <v>11</v>
      </c>
      <c r="J14" t="s">
        <v>71</v>
      </c>
      <c r="K14" t="s">
        <v>106</v>
      </c>
    </row>
    <row r="15" spans="1:11">
      <c r="A15" t="s">
        <v>107</v>
      </c>
      <c r="B15" s="5">
        <v>46218</v>
      </c>
      <c r="C15" t="s">
        <v>66</v>
      </c>
      <c r="D15" t="s">
        <v>67</v>
      </c>
      <c r="E15" t="s">
        <v>40</v>
      </c>
      <c r="F15" t="s">
        <v>68</v>
      </c>
      <c r="G15" t="s">
        <v>102</v>
      </c>
      <c r="H15" t="s">
        <v>103</v>
      </c>
      <c r="I15" s="6">
        <v>8</v>
      </c>
      <c r="J15" t="s">
        <v>71</v>
      </c>
      <c r="K15" t="s">
        <v>108</v>
      </c>
    </row>
    <row r="16" spans="1:11">
      <c r="A16" t="s">
        <v>109</v>
      </c>
      <c r="B16" s="5">
        <v>46204</v>
      </c>
      <c r="C16" t="s">
        <v>110</v>
      </c>
      <c r="D16" t="s">
        <v>67</v>
      </c>
      <c r="E16" t="s">
        <v>40</v>
      </c>
      <c r="F16" t="s">
        <v>82</v>
      </c>
      <c r="G16" t="s">
        <v>111</v>
      </c>
      <c r="H16" t="s">
        <v>112</v>
      </c>
      <c r="I16" s="6">
        <v>8</v>
      </c>
      <c r="J16" t="s">
        <v>71</v>
      </c>
      <c r="K16" t="s">
        <v>113</v>
      </c>
    </row>
    <row r="17" spans="1:11">
      <c r="A17" t="s">
        <v>114</v>
      </c>
      <c r="B17" s="5">
        <v>46205</v>
      </c>
      <c r="C17" t="s">
        <v>110</v>
      </c>
      <c r="D17" t="s">
        <v>67</v>
      </c>
      <c r="E17" t="s">
        <v>40</v>
      </c>
      <c r="F17" t="s">
        <v>82</v>
      </c>
      <c r="G17" t="s">
        <v>83</v>
      </c>
      <c r="H17" t="s">
        <v>84</v>
      </c>
      <c r="I17" s="6">
        <v>2.5</v>
      </c>
      <c r="J17" t="s">
        <v>71</v>
      </c>
      <c r="K17" t="s">
        <v>115</v>
      </c>
    </row>
    <row r="18" spans="1:11">
      <c r="A18" t="s">
        <v>116</v>
      </c>
      <c r="B18" s="5">
        <v>46206</v>
      </c>
      <c r="C18" t="s">
        <v>110</v>
      </c>
      <c r="D18" t="s">
        <v>67</v>
      </c>
      <c r="E18" t="s">
        <v>40</v>
      </c>
      <c r="F18" t="s">
        <v>82</v>
      </c>
      <c r="G18" t="s">
        <v>117</v>
      </c>
      <c r="H18" t="s">
        <v>118</v>
      </c>
      <c r="I18" s="6">
        <v>10</v>
      </c>
      <c r="J18" t="s">
        <v>71</v>
      </c>
      <c r="K18" t="s">
        <v>119</v>
      </c>
    </row>
    <row r="19" spans="1:11">
      <c r="A19" t="s">
        <v>120</v>
      </c>
      <c r="B19" s="5">
        <v>46207</v>
      </c>
      <c r="C19" t="s">
        <v>110</v>
      </c>
      <c r="D19" t="s">
        <v>67</v>
      </c>
      <c r="E19" t="s">
        <v>40</v>
      </c>
      <c r="F19" t="s">
        <v>82</v>
      </c>
      <c r="G19" t="s">
        <v>117</v>
      </c>
      <c r="H19" t="s">
        <v>118</v>
      </c>
      <c r="I19" s="6">
        <v>10.5</v>
      </c>
      <c r="J19" t="s">
        <v>71</v>
      </c>
      <c r="K19" t="s">
        <v>121</v>
      </c>
    </row>
    <row r="20" spans="1:11">
      <c r="A20" t="s">
        <v>122</v>
      </c>
      <c r="B20" s="5">
        <v>46208</v>
      </c>
      <c r="C20" t="s">
        <v>110</v>
      </c>
      <c r="D20" t="s">
        <v>67</v>
      </c>
      <c r="E20" t="s">
        <v>40</v>
      </c>
      <c r="F20" t="s">
        <v>82</v>
      </c>
      <c r="G20" t="s">
        <v>117</v>
      </c>
      <c r="H20" t="s">
        <v>118</v>
      </c>
      <c r="I20" s="6">
        <v>10.5</v>
      </c>
      <c r="J20" t="s">
        <v>71</v>
      </c>
      <c r="K20" t="s">
        <v>121</v>
      </c>
    </row>
    <row r="21" spans="1:11">
      <c r="A21" t="s">
        <v>123</v>
      </c>
      <c r="B21" s="5">
        <v>46209</v>
      </c>
      <c r="C21" t="s">
        <v>110</v>
      </c>
      <c r="D21" t="s">
        <v>67</v>
      </c>
      <c r="E21" t="s">
        <v>40</v>
      </c>
      <c r="F21" t="s">
        <v>82</v>
      </c>
      <c r="G21" t="s">
        <v>124</v>
      </c>
      <c r="H21" t="s">
        <v>125</v>
      </c>
      <c r="I21" s="6">
        <v>9</v>
      </c>
      <c r="J21" t="s">
        <v>71</v>
      </c>
      <c r="K21" t="s">
        <v>126</v>
      </c>
    </row>
    <row r="22" spans="1:11">
      <c r="A22" t="s">
        <v>127</v>
      </c>
      <c r="B22" s="5">
        <v>46210</v>
      </c>
      <c r="C22" t="s">
        <v>110</v>
      </c>
      <c r="D22" t="s">
        <v>67</v>
      </c>
      <c r="E22" t="s">
        <v>40</v>
      </c>
      <c r="F22" t="s">
        <v>82</v>
      </c>
      <c r="G22" t="s">
        <v>124</v>
      </c>
      <c r="H22" t="s">
        <v>125</v>
      </c>
      <c r="I22" s="6">
        <v>8</v>
      </c>
      <c r="J22" t="s">
        <v>71</v>
      </c>
      <c r="K22" t="s">
        <v>128</v>
      </c>
    </row>
    <row r="23" spans="1:11">
      <c r="A23" t="s">
        <v>129</v>
      </c>
      <c r="B23" s="5">
        <v>46218</v>
      </c>
      <c r="C23" t="s">
        <v>110</v>
      </c>
      <c r="D23" t="s">
        <v>67</v>
      </c>
      <c r="E23" t="s">
        <v>40</v>
      </c>
      <c r="F23" t="s">
        <v>82</v>
      </c>
      <c r="G23" t="s">
        <v>130</v>
      </c>
      <c r="H23" t="s">
        <v>131</v>
      </c>
      <c r="I23" s="6">
        <v>4.5</v>
      </c>
      <c r="J23" t="s">
        <v>95</v>
      </c>
      <c r="K23" t="s">
        <v>132</v>
      </c>
    </row>
    <row r="24" spans="1:11">
      <c r="A24" t="s">
        <v>133</v>
      </c>
      <c r="B24" s="5">
        <v>46204</v>
      </c>
      <c r="C24" t="s">
        <v>134</v>
      </c>
      <c r="D24" t="s">
        <v>67</v>
      </c>
      <c r="E24" t="s">
        <v>40</v>
      </c>
      <c r="F24" t="s">
        <v>68</v>
      </c>
      <c r="G24" t="s">
        <v>111</v>
      </c>
      <c r="H24" t="s">
        <v>112</v>
      </c>
      <c r="I24" s="6">
        <v>8</v>
      </c>
      <c r="J24" t="s">
        <v>71</v>
      </c>
      <c r="K24" t="s">
        <v>135</v>
      </c>
    </row>
    <row r="25" spans="1:11">
      <c r="A25" t="s">
        <v>136</v>
      </c>
      <c r="B25" s="5">
        <v>46205</v>
      </c>
      <c r="C25" t="s">
        <v>134</v>
      </c>
      <c r="D25" t="s">
        <v>67</v>
      </c>
      <c r="E25" t="s">
        <v>24</v>
      </c>
      <c r="F25" t="s">
        <v>82</v>
      </c>
      <c r="G25" t="s">
        <v>137</v>
      </c>
      <c r="H25" t="s">
        <v>138</v>
      </c>
      <c r="I25" s="6">
        <v>10.5</v>
      </c>
      <c r="J25" t="s">
        <v>71</v>
      </c>
      <c r="K25" t="s">
        <v>139</v>
      </c>
    </row>
    <row r="26" spans="1:11">
      <c r="A26" t="s">
        <v>140</v>
      </c>
      <c r="B26" s="5">
        <v>46206</v>
      </c>
      <c r="C26" t="s">
        <v>134</v>
      </c>
      <c r="D26" t="s">
        <v>67</v>
      </c>
      <c r="E26" t="s">
        <v>40</v>
      </c>
      <c r="F26" t="s">
        <v>68</v>
      </c>
      <c r="G26" t="s">
        <v>141</v>
      </c>
      <c r="H26" t="s">
        <v>142</v>
      </c>
      <c r="I26" s="6">
        <v>16</v>
      </c>
      <c r="J26" t="s">
        <v>95</v>
      </c>
      <c r="K26" t="s">
        <v>143</v>
      </c>
    </row>
    <row r="27" spans="1:11">
      <c r="A27" t="s">
        <v>144</v>
      </c>
      <c r="B27" s="5">
        <v>46207</v>
      </c>
      <c r="C27" t="s">
        <v>134</v>
      </c>
      <c r="D27" t="s">
        <v>67</v>
      </c>
      <c r="E27" t="s">
        <v>40</v>
      </c>
      <c r="F27" t="s">
        <v>82</v>
      </c>
      <c r="G27" t="s">
        <v>145</v>
      </c>
      <c r="H27" t="s">
        <v>146</v>
      </c>
      <c r="I27" s="6">
        <v>8.5</v>
      </c>
      <c r="J27" t="s">
        <v>71</v>
      </c>
      <c r="K27" t="s">
        <v>147</v>
      </c>
    </row>
    <row r="28" spans="1:11">
      <c r="A28" t="s">
        <v>148</v>
      </c>
      <c r="B28" s="5">
        <v>46208</v>
      </c>
      <c r="C28" t="s">
        <v>134</v>
      </c>
      <c r="D28" t="s">
        <v>67</v>
      </c>
      <c r="E28" t="s">
        <v>40</v>
      </c>
      <c r="F28" t="s">
        <v>82</v>
      </c>
      <c r="G28" t="s">
        <v>145</v>
      </c>
      <c r="H28" t="s">
        <v>146</v>
      </c>
      <c r="I28" s="6">
        <v>8.5</v>
      </c>
      <c r="J28" t="s">
        <v>71</v>
      </c>
      <c r="K28" t="s">
        <v>147</v>
      </c>
    </row>
    <row r="29" spans="1:11">
      <c r="A29" t="s">
        <v>149</v>
      </c>
      <c r="B29" s="5">
        <v>46209</v>
      </c>
      <c r="C29" t="s">
        <v>134</v>
      </c>
      <c r="D29" t="s">
        <v>67</v>
      </c>
      <c r="E29" t="s">
        <v>40</v>
      </c>
      <c r="F29" t="s">
        <v>82</v>
      </c>
      <c r="G29" t="s">
        <v>150</v>
      </c>
      <c r="H29" t="s">
        <v>151</v>
      </c>
      <c r="I29" s="6">
        <v>8.5</v>
      </c>
      <c r="J29" t="s">
        <v>71</v>
      </c>
      <c r="K29" t="s">
        <v>152</v>
      </c>
    </row>
    <row r="30" spans="1:11">
      <c r="A30" t="s">
        <v>153</v>
      </c>
      <c r="B30" s="5">
        <v>46210</v>
      </c>
      <c r="C30" t="s">
        <v>134</v>
      </c>
      <c r="D30" t="s">
        <v>67</v>
      </c>
      <c r="E30" t="s">
        <v>40</v>
      </c>
      <c r="F30" t="s">
        <v>68</v>
      </c>
      <c r="G30" t="s">
        <v>154</v>
      </c>
      <c r="H30" t="s">
        <v>155</v>
      </c>
      <c r="I30" s="6">
        <v>8.5</v>
      </c>
      <c r="J30" t="s">
        <v>71</v>
      </c>
      <c r="K30" t="s">
        <v>156</v>
      </c>
    </row>
    <row r="31" spans="1:11">
      <c r="A31" t="s">
        <v>157</v>
      </c>
      <c r="B31" s="5">
        <v>46211</v>
      </c>
      <c r="C31" t="s">
        <v>134</v>
      </c>
      <c r="D31" t="s">
        <v>67</v>
      </c>
      <c r="E31" t="s">
        <v>40</v>
      </c>
      <c r="F31" t="s">
        <v>68</v>
      </c>
      <c r="G31" t="s">
        <v>158</v>
      </c>
      <c r="H31" t="s">
        <v>159</v>
      </c>
      <c r="I31" s="6">
        <v>8</v>
      </c>
      <c r="J31" t="s">
        <v>71</v>
      </c>
      <c r="K31" t="s">
        <v>160</v>
      </c>
    </row>
    <row r="32" spans="1:11">
      <c r="A32" t="s">
        <v>161</v>
      </c>
      <c r="B32" s="5">
        <v>46212</v>
      </c>
      <c r="C32" t="s">
        <v>134</v>
      </c>
      <c r="D32" t="s">
        <v>67</v>
      </c>
      <c r="E32" t="s">
        <v>40</v>
      </c>
      <c r="F32" t="s">
        <v>82</v>
      </c>
      <c r="G32" t="s">
        <v>162</v>
      </c>
      <c r="H32" t="s">
        <v>163</v>
      </c>
      <c r="I32" s="6">
        <v>7.5</v>
      </c>
      <c r="J32" t="s">
        <v>71</v>
      </c>
      <c r="K32" t="s">
        <v>164</v>
      </c>
    </row>
    <row r="33" spans="1:11">
      <c r="A33" t="s">
        <v>165</v>
      </c>
      <c r="B33" s="5">
        <v>46213</v>
      </c>
      <c r="C33" t="s">
        <v>134</v>
      </c>
      <c r="D33" t="s">
        <v>67</v>
      </c>
      <c r="E33" t="s">
        <v>40</v>
      </c>
      <c r="F33" t="s">
        <v>82</v>
      </c>
      <c r="G33" t="s">
        <v>145</v>
      </c>
      <c r="H33" t="s">
        <v>146</v>
      </c>
      <c r="I33" s="6">
        <v>7.5</v>
      </c>
      <c r="J33" t="s">
        <v>71</v>
      </c>
      <c r="K33" t="s">
        <v>166</v>
      </c>
    </row>
    <row r="34" spans="1:11">
      <c r="A34" t="s">
        <v>167</v>
      </c>
      <c r="B34" s="5">
        <v>46214</v>
      </c>
      <c r="C34" t="s">
        <v>134</v>
      </c>
      <c r="D34" t="s">
        <v>67</v>
      </c>
      <c r="E34" t="s">
        <v>40</v>
      </c>
      <c r="F34" t="s">
        <v>82</v>
      </c>
      <c r="G34" t="s">
        <v>145</v>
      </c>
      <c r="H34" t="s">
        <v>146</v>
      </c>
      <c r="I34" s="6">
        <v>8.5</v>
      </c>
      <c r="J34" t="s">
        <v>71</v>
      </c>
      <c r="K34" t="s">
        <v>147</v>
      </c>
    </row>
    <row r="35" spans="1:11">
      <c r="A35" t="s">
        <v>168</v>
      </c>
      <c r="B35" s="5">
        <v>46215</v>
      </c>
      <c r="C35" t="s">
        <v>134</v>
      </c>
      <c r="D35" t="s">
        <v>67</v>
      </c>
      <c r="E35" t="s">
        <v>40</v>
      </c>
      <c r="F35" t="s">
        <v>68</v>
      </c>
      <c r="G35" t="s">
        <v>145</v>
      </c>
      <c r="H35" t="s">
        <v>146</v>
      </c>
      <c r="I35" s="6">
        <v>8.5</v>
      </c>
      <c r="J35" t="s">
        <v>71</v>
      </c>
      <c r="K35" t="s">
        <v>169</v>
      </c>
    </row>
    <row r="36" spans="1:11">
      <c r="A36" t="s">
        <v>170</v>
      </c>
      <c r="B36" s="5">
        <v>46216</v>
      </c>
      <c r="C36" t="s">
        <v>134</v>
      </c>
      <c r="D36" t="s">
        <v>67</v>
      </c>
      <c r="E36" t="s">
        <v>40</v>
      </c>
      <c r="F36" t="s">
        <v>68</v>
      </c>
      <c r="G36" t="s">
        <v>171</v>
      </c>
      <c r="H36" t="s">
        <v>172</v>
      </c>
      <c r="I36" s="6">
        <v>12</v>
      </c>
      <c r="J36" t="s">
        <v>71</v>
      </c>
      <c r="K36" t="s">
        <v>173</v>
      </c>
    </row>
    <row r="37" spans="1:11">
      <c r="A37" t="s">
        <v>174</v>
      </c>
      <c r="B37" s="5">
        <v>46217</v>
      </c>
      <c r="C37" t="s">
        <v>134</v>
      </c>
      <c r="D37" t="s">
        <v>67</v>
      </c>
      <c r="E37" t="s">
        <v>40</v>
      </c>
      <c r="F37" t="s">
        <v>68</v>
      </c>
      <c r="G37" t="s">
        <v>102</v>
      </c>
      <c r="H37" t="s">
        <v>103</v>
      </c>
      <c r="I37" s="6">
        <v>8</v>
      </c>
      <c r="J37" t="s">
        <v>71</v>
      </c>
      <c r="K37" t="s">
        <v>108</v>
      </c>
    </row>
    <row r="38" spans="1:11">
      <c r="A38" t="s">
        <v>175</v>
      </c>
      <c r="B38" s="5">
        <v>46218</v>
      </c>
      <c r="C38" t="s">
        <v>134</v>
      </c>
      <c r="D38" t="s">
        <v>67</v>
      </c>
      <c r="E38" t="s">
        <v>40</v>
      </c>
      <c r="F38" t="s">
        <v>68</v>
      </c>
      <c r="G38" t="s">
        <v>102</v>
      </c>
      <c r="H38" t="s">
        <v>103</v>
      </c>
      <c r="I38" s="6">
        <v>9.5</v>
      </c>
      <c r="J38" t="s">
        <v>71</v>
      </c>
      <c r="K38" t="s">
        <v>176</v>
      </c>
    </row>
    <row r="39" spans="1:11">
      <c r="A39" t="s">
        <v>177</v>
      </c>
      <c r="B39" s="5">
        <v>46204</v>
      </c>
      <c r="C39" t="s">
        <v>178</v>
      </c>
      <c r="D39" t="s">
        <v>67</v>
      </c>
      <c r="E39" t="s">
        <v>29</v>
      </c>
      <c r="F39" t="s">
        <v>179</v>
      </c>
      <c r="G39" t="s">
        <v>180</v>
      </c>
      <c r="H39" t="s">
        <v>181</v>
      </c>
      <c r="I39" s="6">
        <v>8</v>
      </c>
      <c r="J39" t="s">
        <v>71</v>
      </c>
      <c r="K39" t="s">
        <v>182</v>
      </c>
    </row>
    <row r="40" spans="1:11">
      <c r="A40" t="s">
        <v>183</v>
      </c>
      <c r="B40" s="5">
        <v>46205</v>
      </c>
      <c r="C40" t="s">
        <v>178</v>
      </c>
      <c r="D40" t="s">
        <v>67</v>
      </c>
      <c r="E40" t="s">
        <v>9</v>
      </c>
      <c r="F40" t="s">
        <v>179</v>
      </c>
      <c r="G40" t="s">
        <v>184</v>
      </c>
      <c r="H40" t="s">
        <v>185</v>
      </c>
      <c r="I40" s="6">
        <v>6.5</v>
      </c>
      <c r="J40" t="s">
        <v>71</v>
      </c>
      <c r="K40" t="s">
        <v>186</v>
      </c>
    </row>
    <row r="41" spans="1:11">
      <c r="A41" t="s">
        <v>187</v>
      </c>
      <c r="B41" s="5">
        <v>46206</v>
      </c>
      <c r="C41" t="s">
        <v>178</v>
      </c>
      <c r="D41" t="s">
        <v>67</v>
      </c>
      <c r="E41" t="s">
        <v>9</v>
      </c>
      <c r="F41" t="s">
        <v>68</v>
      </c>
      <c r="G41" t="s">
        <v>188</v>
      </c>
      <c r="H41" t="s">
        <v>189</v>
      </c>
      <c r="I41" s="6">
        <v>9</v>
      </c>
      <c r="J41" t="s">
        <v>71</v>
      </c>
      <c r="K41" t="s">
        <v>190</v>
      </c>
    </row>
    <row r="42" spans="1:11">
      <c r="A42" t="s">
        <v>191</v>
      </c>
      <c r="B42" s="5">
        <v>46209</v>
      </c>
      <c r="C42" t="s">
        <v>178</v>
      </c>
      <c r="D42" t="s">
        <v>67</v>
      </c>
      <c r="E42" t="s">
        <v>29</v>
      </c>
      <c r="F42" t="s">
        <v>179</v>
      </c>
      <c r="G42" t="s">
        <v>192</v>
      </c>
      <c r="H42" t="s">
        <v>193</v>
      </c>
      <c r="I42" s="6">
        <v>8.25</v>
      </c>
      <c r="J42" t="s">
        <v>194</v>
      </c>
      <c r="K42" t="s">
        <v>195</v>
      </c>
    </row>
    <row r="43" spans="1:11">
      <c r="A43" t="s">
        <v>196</v>
      </c>
      <c r="B43" s="5">
        <v>46210</v>
      </c>
      <c r="C43" t="s">
        <v>178</v>
      </c>
      <c r="D43" t="s">
        <v>67</v>
      </c>
      <c r="E43" t="s">
        <v>29</v>
      </c>
      <c r="F43" t="s">
        <v>179</v>
      </c>
      <c r="G43" t="s">
        <v>197</v>
      </c>
      <c r="H43" t="s">
        <v>198</v>
      </c>
      <c r="I43" s="6">
        <v>3.5</v>
      </c>
      <c r="J43" t="s">
        <v>71</v>
      </c>
      <c r="K43" t="s">
        <v>199</v>
      </c>
    </row>
    <row r="44" spans="1:11">
      <c r="A44" t="s">
        <v>200</v>
      </c>
      <c r="B44" s="5">
        <v>46211</v>
      </c>
      <c r="C44" t="s">
        <v>178</v>
      </c>
      <c r="D44" t="s">
        <v>67</v>
      </c>
      <c r="E44" t="s">
        <v>29</v>
      </c>
      <c r="F44" t="s">
        <v>179</v>
      </c>
      <c r="G44" t="s">
        <v>201</v>
      </c>
      <c r="H44" t="s">
        <v>202</v>
      </c>
      <c r="I44" s="6">
        <v>8.5</v>
      </c>
      <c r="J44" t="s">
        <v>71</v>
      </c>
      <c r="K44" t="s">
        <v>203</v>
      </c>
    </row>
    <row r="45" spans="1:11">
      <c r="A45" t="s">
        <v>204</v>
      </c>
      <c r="B45" s="5">
        <v>46212</v>
      </c>
      <c r="C45" t="s">
        <v>178</v>
      </c>
      <c r="D45" t="s">
        <v>67</v>
      </c>
      <c r="E45" t="s">
        <v>29</v>
      </c>
      <c r="F45" t="s">
        <v>179</v>
      </c>
      <c r="G45" t="s">
        <v>205</v>
      </c>
      <c r="H45" t="s">
        <v>206</v>
      </c>
      <c r="I45" s="6">
        <v>11.5</v>
      </c>
      <c r="J45" t="s">
        <v>71</v>
      </c>
      <c r="K45" t="s">
        <v>207</v>
      </c>
    </row>
    <row r="46" spans="1:11">
      <c r="A46" t="s">
        <v>208</v>
      </c>
      <c r="B46" s="5">
        <v>46213</v>
      </c>
      <c r="C46" t="s">
        <v>178</v>
      </c>
      <c r="D46" t="s">
        <v>67</v>
      </c>
      <c r="E46" t="s">
        <v>9</v>
      </c>
      <c r="F46" t="s">
        <v>68</v>
      </c>
      <c r="G46" t="s">
        <v>184</v>
      </c>
      <c r="H46" t="s">
        <v>185</v>
      </c>
      <c r="I46" s="6">
        <v>7.5</v>
      </c>
      <c r="J46" t="s">
        <v>71</v>
      </c>
      <c r="K46" t="s">
        <v>209</v>
      </c>
    </row>
    <row r="47" spans="1:11">
      <c r="A47" t="s">
        <v>210</v>
      </c>
      <c r="B47" s="5">
        <v>46216</v>
      </c>
      <c r="C47" t="s">
        <v>178</v>
      </c>
      <c r="D47" t="s">
        <v>67</v>
      </c>
      <c r="E47" t="s">
        <v>28</v>
      </c>
      <c r="F47" t="s">
        <v>68</v>
      </c>
      <c r="G47" t="s">
        <v>211</v>
      </c>
      <c r="H47" t="s">
        <v>212</v>
      </c>
      <c r="I47" s="6">
        <v>6.5</v>
      </c>
      <c r="J47" t="s">
        <v>71</v>
      </c>
      <c r="K47" t="s">
        <v>213</v>
      </c>
    </row>
    <row r="48" spans="1:11">
      <c r="A48" t="s">
        <v>214</v>
      </c>
      <c r="B48" s="5">
        <v>46217</v>
      </c>
      <c r="C48" t="s">
        <v>178</v>
      </c>
      <c r="D48" t="s">
        <v>67</v>
      </c>
      <c r="E48" t="s">
        <v>9</v>
      </c>
      <c r="F48" t="s">
        <v>179</v>
      </c>
      <c r="G48" t="s">
        <v>215</v>
      </c>
      <c r="H48" t="s">
        <v>216</v>
      </c>
      <c r="I48" s="6">
        <v>5</v>
      </c>
      <c r="J48" t="s">
        <v>71</v>
      </c>
      <c r="K48" t="s">
        <v>217</v>
      </c>
    </row>
    <row r="49" spans="1:11">
      <c r="A49" t="s">
        <v>218</v>
      </c>
      <c r="B49" s="5">
        <v>46218</v>
      </c>
      <c r="C49" t="s">
        <v>178</v>
      </c>
      <c r="D49" t="s">
        <v>67</v>
      </c>
      <c r="E49" t="s">
        <v>28</v>
      </c>
      <c r="F49" t="s">
        <v>68</v>
      </c>
      <c r="G49" t="s">
        <v>219</v>
      </c>
      <c r="H49" t="s">
        <v>220</v>
      </c>
      <c r="I49" s="6">
        <v>8.5</v>
      </c>
      <c r="J49" t="s">
        <v>71</v>
      </c>
      <c r="K49" t="s">
        <v>221</v>
      </c>
    </row>
    <row r="50" spans="1:11">
      <c r="A50" t="s">
        <v>222</v>
      </c>
      <c r="B50" s="5">
        <v>46204</v>
      </c>
      <c r="C50" t="s">
        <v>223</v>
      </c>
      <c r="D50" t="s">
        <v>67</v>
      </c>
      <c r="E50" t="s">
        <v>40</v>
      </c>
      <c r="F50" t="s">
        <v>82</v>
      </c>
      <c r="G50" t="s">
        <v>224</v>
      </c>
      <c r="H50" t="s">
        <v>99</v>
      </c>
      <c r="I50" s="6">
        <v>8.5</v>
      </c>
      <c r="J50" t="s">
        <v>71</v>
      </c>
      <c r="K50" t="s">
        <v>225</v>
      </c>
    </row>
    <row r="51" spans="1:11">
      <c r="A51" t="s">
        <v>226</v>
      </c>
      <c r="B51" s="5">
        <v>46205</v>
      </c>
      <c r="C51" t="s">
        <v>223</v>
      </c>
      <c r="D51" t="s">
        <v>67</v>
      </c>
      <c r="E51" t="s">
        <v>40</v>
      </c>
      <c r="F51" t="s">
        <v>82</v>
      </c>
      <c r="G51" t="s">
        <v>224</v>
      </c>
      <c r="H51" t="s">
        <v>99</v>
      </c>
      <c r="I51" s="6">
        <v>8.5</v>
      </c>
      <c r="J51" t="s">
        <v>71</v>
      </c>
      <c r="K51" t="s">
        <v>225</v>
      </c>
    </row>
    <row r="52" spans="1:11">
      <c r="A52" t="s">
        <v>227</v>
      </c>
      <c r="B52" s="5">
        <v>46206</v>
      </c>
      <c r="C52" t="s">
        <v>223</v>
      </c>
      <c r="D52" t="s">
        <v>67</v>
      </c>
      <c r="E52" t="s">
        <v>40</v>
      </c>
      <c r="F52" t="s">
        <v>82</v>
      </c>
      <c r="G52" t="s">
        <v>228</v>
      </c>
      <c r="H52" t="s">
        <v>99</v>
      </c>
      <c r="I52" s="6">
        <v>15.5</v>
      </c>
      <c r="J52" t="s">
        <v>95</v>
      </c>
      <c r="K52" t="s">
        <v>229</v>
      </c>
    </row>
    <row r="53" spans="1:11">
      <c r="A53" t="s">
        <v>230</v>
      </c>
      <c r="B53" s="5">
        <v>46212</v>
      </c>
      <c r="C53" t="s">
        <v>223</v>
      </c>
      <c r="D53" t="s">
        <v>67</v>
      </c>
      <c r="E53" t="s">
        <v>40</v>
      </c>
      <c r="F53" t="s">
        <v>68</v>
      </c>
      <c r="G53" t="s">
        <v>231</v>
      </c>
      <c r="H53" t="s">
        <v>232</v>
      </c>
      <c r="I53" s="6">
        <v>7.5</v>
      </c>
      <c r="J53" t="s">
        <v>71</v>
      </c>
      <c r="K53" t="s">
        <v>233</v>
      </c>
    </row>
    <row r="54" spans="1:11">
      <c r="A54" t="s">
        <v>234</v>
      </c>
      <c r="B54" s="5">
        <v>46213</v>
      </c>
      <c r="C54" t="s">
        <v>223</v>
      </c>
      <c r="D54" t="s">
        <v>67</v>
      </c>
      <c r="E54" t="s">
        <v>40</v>
      </c>
      <c r="F54" t="s">
        <v>82</v>
      </c>
      <c r="G54" t="s">
        <v>98</v>
      </c>
      <c r="H54" t="s">
        <v>99</v>
      </c>
      <c r="I54" s="6">
        <v>6.5</v>
      </c>
      <c r="J54" t="s">
        <v>71</v>
      </c>
      <c r="K54" t="s">
        <v>235</v>
      </c>
    </row>
    <row r="55" spans="1:11">
      <c r="A55" t="s">
        <v>236</v>
      </c>
      <c r="B55" s="5">
        <v>46214</v>
      </c>
      <c r="C55" t="s">
        <v>223</v>
      </c>
      <c r="D55" t="s">
        <v>67</v>
      </c>
      <c r="E55" t="s">
        <v>40</v>
      </c>
      <c r="F55" t="s">
        <v>82</v>
      </c>
      <c r="G55" t="s">
        <v>98</v>
      </c>
      <c r="H55" t="s">
        <v>99</v>
      </c>
      <c r="I55" s="6">
        <v>8.5</v>
      </c>
      <c r="J55" t="s">
        <v>71</v>
      </c>
      <c r="K55" t="s">
        <v>237</v>
      </c>
    </row>
    <row r="56" spans="1:11">
      <c r="A56" t="s">
        <v>238</v>
      </c>
      <c r="B56" s="5">
        <v>46216</v>
      </c>
      <c r="C56" t="s">
        <v>223</v>
      </c>
      <c r="D56" t="s">
        <v>67</v>
      </c>
      <c r="E56" t="s">
        <v>40</v>
      </c>
      <c r="F56" t="s">
        <v>82</v>
      </c>
      <c r="G56" t="s">
        <v>98</v>
      </c>
      <c r="H56" t="s">
        <v>99</v>
      </c>
      <c r="I56" s="6">
        <v>8.5</v>
      </c>
      <c r="J56" t="s">
        <v>71</v>
      </c>
      <c r="K56" t="s">
        <v>237</v>
      </c>
    </row>
    <row r="57" spans="1:11">
      <c r="A57" t="s">
        <v>239</v>
      </c>
      <c r="B57" s="5">
        <v>46218</v>
      </c>
      <c r="C57" t="s">
        <v>223</v>
      </c>
      <c r="D57" t="s">
        <v>67</v>
      </c>
      <c r="E57" t="s">
        <v>40</v>
      </c>
      <c r="F57" t="s">
        <v>82</v>
      </c>
      <c r="G57" t="s">
        <v>240</v>
      </c>
      <c r="H57" t="s">
        <v>99</v>
      </c>
      <c r="I57" s="6">
        <v>8.5</v>
      </c>
      <c r="J57" t="s">
        <v>71</v>
      </c>
      <c r="K57" t="s">
        <v>241</v>
      </c>
    </row>
    <row r="58" spans="1:11">
      <c r="A58" t="s">
        <v>242</v>
      </c>
      <c r="B58" s="5">
        <v>46204</v>
      </c>
      <c r="C58" t="s">
        <v>243</v>
      </c>
      <c r="D58" t="s">
        <v>67</v>
      </c>
      <c r="E58" t="s">
        <v>17</v>
      </c>
      <c r="F58" t="s">
        <v>68</v>
      </c>
      <c r="G58" t="s">
        <v>244</v>
      </c>
      <c r="H58" t="s">
        <v>245</v>
      </c>
      <c r="I58" s="6">
        <v>4</v>
      </c>
      <c r="J58" t="s">
        <v>71</v>
      </c>
      <c r="K58" t="s">
        <v>246</v>
      </c>
    </row>
    <row r="59" spans="1:11">
      <c r="A59" t="s">
        <v>247</v>
      </c>
      <c r="B59" s="5">
        <v>46205</v>
      </c>
      <c r="C59" t="s">
        <v>243</v>
      </c>
      <c r="D59" t="s">
        <v>67</v>
      </c>
      <c r="E59" t="s">
        <v>17</v>
      </c>
      <c r="F59" t="s">
        <v>68</v>
      </c>
      <c r="G59" t="s">
        <v>248</v>
      </c>
      <c r="H59" t="s">
        <v>249</v>
      </c>
      <c r="I59" s="6">
        <v>8.5</v>
      </c>
      <c r="J59" t="s">
        <v>71</v>
      </c>
      <c r="K59" t="s">
        <v>250</v>
      </c>
    </row>
    <row r="60" spans="1:11">
      <c r="A60" t="s">
        <v>251</v>
      </c>
      <c r="B60" s="5">
        <v>46206</v>
      </c>
      <c r="C60" t="s">
        <v>243</v>
      </c>
      <c r="D60" t="s">
        <v>67</v>
      </c>
      <c r="E60" t="s">
        <v>17</v>
      </c>
      <c r="F60" t="s">
        <v>68</v>
      </c>
      <c r="G60" t="s">
        <v>252</v>
      </c>
      <c r="H60" t="s">
        <v>249</v>
      </c>
      <c r="I60" s="6">
        <v>8.5</v>
      </c>
      <c r="J60" t="s">
        <v>71</v>
      </c>
      <c r="K60" t="s">
        <v>253</v>
      </c>
    </row>
    <row r="61" spans="1:11">
      <c r="A61" t="s">
        <v>254</v>
      </c>
      <c r="B61" s="5">
        <v>46209</v>
      </c>
      <c r="C61" t="s">
        <v>243</v>
      </c>
      <c r="D61" t="s">
        <v>67</v>
      </c>
      <c r="E61" t="s">
        <v>17</v>
      </c>
      <c r="F61" t="s">
        <v>68</v>
      </c>
      <c r="G61" t="s">
        <v>255</v>
      </c>
      <c r="H61" t="s">
        <v>256</v>
      </c>
      <c r="I61" s="6">
        <v>14</v>
      </c>
      <c r="J61" t="s">
        <v>71</v>
      </c>
      <c r="K61" t="s">
        <v>257</v>
      </c>
    </row>
    <row r="62" spans="1:11">
      <c r="A62" t="s">
        <v>258</v>
      </c>
      <c r="B62" s="5">
        <v>46210</v>
      </c>
      <c r="C62" t="s">
        <v>243</v>
      </c>
      <c r="D62" t="s">
        <v>67</v>
      </c>
      <c r="E62" t="s">
        <v>17</v>
      </c>
      <c r="F62" t="s">
        <v>68</v>
      </c>
      <c r="G62" t="s">
        <v>255</v>
      </c>
      <c r="H62" t="s">
        <v>256</v>
      </c>
      <c r="I62" s="6">
        <v>14</v>
      </c>
      <c r="J62" t="s">
        <v>71</v>
      </c>
      <c r="K62" t="s">
        <v>257</v>
      </c>
    </row>
    <row r="63" spans="1:11">
      <c r="A63" t="s">
        <v>259</v>
      </c>
      <c r="B63" s="5">
        <v>46213</v>
      </c>
      <c r="C63" t="s">
        <v>243</v>
      </c>
      <c r="D63" t="s">
        <v>67</v>
      </c>
      <c r="E63" t="s">
        <v>17</v>
      </c>
      <c r="F63" t="s">
        <v>68</v>
      </c>
      <c r="G63" t="s">
        <v>244</v>
      </c>
      <c r="H63" t="s">
        <v>245</v>
      </c>
      <c r="I63" s="6">
        <v>7.5</v>
      </c>
      <c r="J63" t="s">
        <v>71</v>
      </c>
      <c r="K63" t="s">
        <v>260</v>
      </c>
    </row>
    <row r="64" spans="1:11">
      <c r="A64" t="s">
        <v>261</v>
      </c>
      <c r="B64" s="5">
        <v>46209</v>
      </c>
      <c r="C64" t="s">
        <v>262</v>
      </c>
      <c r="D64" t="s">
        <v>67</v>
      </c>
      <c r="E64" t="s">
        <v>28</v>
      </c>
      <c r="F64" t="s">
        <v>68</v>
      </c>
      <c r="G64" t="s">
        <v>263</v>
      </c>
      <c r="H64" t="s">
        <v>264</v>
      </c>
      <c r="I64" s="6">
        <v>9.25</v>
      </c>
      <c r="J64" t="s">
        <v>194</v>
      </c>
      <c r="K64" t="s">
        <v>265</v>
      </c>
    </row>
    <row r="65" spans="1:11">
      <c r="A65" t="s">
        <v>266</v>
      </c>
      <c r="B65" s="5">
        <v>46210</v>
      </c>
      <c r="C65" t="s">
        <v>262</v>
      </c>
      <c r="D65" t="s">
        <v>67</v>
      </c>
      <c r="E65" t="s">
        <v>28</v>
      </c>
      <c r="F65" t="s">
        <v>68</v>
      </c>
      <c r="G65" t="s">
        <v>267</v>
      </c>
      <c r="H65" t="s">
        <v>268</v>
      </c>
      <c r="I65" s="6">
        <v>8.5</v>
      </c>
      <c r="J65" t="s">
        <v>71</v>
      </c>
      <c r="K65" t="s">
        <v>269</v>
      </c>
    </row>
    <row r="66" spans="1:11">
      <c r="A66" t="s">
        <v>270</v>
      </c>
      <c r="B66" s="5">
        <v>46211</v>
      </c>
      <c r="C66" t="s">
        <v>262</v>
      </c>
      <c r="D66" t="s">
        <v>67</v>
      </c>
      <c r="E66" t="s">
        <v>28</v>
      </c>
      <c r="F66" t="s">
        <v>68</v>
      </c>
      <c r="G66" t="s">
        <v>271</v>
      </c>
      <c r="H66" t="s">
        <v>272</v>
      </c>
      <c r="I66" s="6">
        <v>6</v>
      </c>
      <c r="J66" t="s">
        <v>71</v>
      </c>
      <c r="K66" t="s">
        <v>273</v>
      </c>
    </row>
    <row r="67" spans="1:11">
      <c r="A67" t="s">
        <v>274</v>
      </c>
      <c r="B67" s="5">
        <v>46212</v>
      </c>
      <c r="C67" t="s">
        <v>262</v>
      </c>
      <c r="D67" t="s">
        <v>67</v>
      </c>
      <c r="E67" t="s">
        <v>9</v>
      </c>
      <c r="F67" t="s">
        <v>68</v>
      </c>
      <c r="G67" t="s">
        <v>275</v>
      </c>
      <c r="H67" t="s">
        <v>276</v>
      </c>
      <c r="I67" s="6">
        <v>6.25</v>
      </c>
      <c r="J67" t="s">
        <v>71</v>
      </c>
      <c r="K67" t="s">
        <v>277</v>
      </c>
    </row>
    <row r="68" spans="1:11">
      <c r="A68" t="s">
        <v>278</v>
      </c>
      <c r="B68" s="5">
        <v>46217</v>
      </c>
      <c r="C68" t="s">
        <v>262</v>
      </c>
      <c r="D68" t="s">
        <v>67</v>
      </c>
      <c r="E68" t="s">
        <v>28</v>
      </c>
      <c r="F68" t="s">
        <v>68</v>
      </c>
      <c r="G68" t="s">
        <v>279</v>
      </c>
      <c r="H68" t="s">
        <v>280</v>
      </c>
      <c r="I68" s="6">
        <v>6.5</v>
      </c>
      <c r="J68" t="s">
        <v>71</v>
      </c>
      <c r="K68" t="s">
        <v>281</v>
      </c>
    </row>
    <row r="69" spans="1:11">
      <c r="A69" t="s">
        <v>282</v>
      </c>
      <c r="B69" s="5">
        <v>46218</v>
      </c>
      <c r="C69" t="s">
        <v>262</v>
      </c>
      <c r="D69" t="s">
        <v>67</v>
      </c>
      <c r="E69" t="s">
        <v>28</v>
      </c>
      <c r="F69" t="s">
        <v>68</v>
      </c>
      <c r="G69" t="s">
        <v>219</v>
      </c>
      <c r="H69" t="s">
        <v>220</v>
      </c>
      <c r="I69" s="6">
        <v>8</v>
      </c>
      <c r="J69" t="s">
        <v>71</v>
      </c>
      <c r="K69" t="s">
        <v>283</v>
      </c>
    </row>
    <row r="70" spans="1:11">
      <c r="A70" t="s">
        <v>284</v>
      </c>
      <c r="B70" s="5">
        <v>46204</v>
      </c>
      <c r="C70" t="s">
        <v>285</v>
      </c>
      <c r="D70" t="s">
        <v>67</v>
      </c>
      <c r="E70" t="s">
        <v>40</v>
      </c>
      <c r="F70" t="s">
        <v>68</v>
      </c>
      <c r="G70" t="s">
        <v>74</v>
      </c>
      <c r="H70" t="s">
        <v>75</v>
      </c>
      <c r="I70" s="6">
        <v>9.5</v>
      </c>
      <c r="J70" t="s">
        <v>71</v>
      </c>
      <c r="K70" t="s">
        <v>286</v>
      </c>
    </row>
    <row r="71" spans="1:11">
      <c r="A71" t="s">
        <v>287</v>
      </c>
      <c r="B71" s="5">
        <v>46205</v>
      </c>
      <c r="C71" t="s">
        <v>285</v>
      </c>
      <c r="D71" t="s">
        <v>67</v>
      </c>
      <c r="E71" t="s">
        <v>40</v>
      </c>
      <c r="F71" t="s">
        <v>68</v>
      </c>
      <c r="G71" t="s">
        <v>74</v>
      </c>
      <c r="H71" t="s">
        <v>75</v>
      </c>
      <c r="I71" s="6">
        <v>9.5</v>
      </c>
      <c r="J71" t="s">
        <v>71</v>
      </c>
      <c r="K71" t="s">
        <v>286</v>
      </c>
    </row>
    <row r="72" spans="1:11">
      <c r="A72" t="s">
        <v>288</v>
      </c>
      <c r="B72" s="5">
        <v>46206</v>
      </c>
      <c r="C72" t="s">
        <v>285</v>
      </c>
      <c r="D72" t="s">
        <v>67</v>
      </c>
      <c r="E72" t="s">
        <v>40</v>
      </c>
      <c r="F72" t="s">
        <v>68</v>
      </c>
      <c r="G72" t="s">
        <v>74</v>
      </c>
      <c r="H72" t="s">
        <v>75</v>
      </c>
      <c r="I72" s="6">
        <v>8.5</v>
      </c>
      <c r="J72" t="s">
        <v>71</v>
      </c>
      <c r="K72" t="s">
        <v>289</v>
      </c>
    </row>
    <row r="73" spans="1:11">
      <c r="A73" t="s">
        <v>290</v>
      </c>
      <c r="B73" s="5">
        <v>46209</v>
      </c>
      <c r="C73" t="s">
        <v>285</v>
      </c>
      <c r="D73" t="s">
        <v>67</v>
      </c>
      <c r="E73" t="s">
        <v>40</v>
      </c>
      <c r="F73" t="s">
        <v>68</v>
      </c>
      <c r="G73" t="s">
        <v>74</v>
      </c>
      <c r="H73" t="s">
        <v>75</v>
      </c>
      <c r="I73" s="6">
        <v>11.5</v>
      </c>
      <c r="J73" t="s">
        <v>71</v>
      </c>
      <c r="K73" t="s">
        <v>80</v>
      </c>
    </row>
    <row r="74" spans="1:11">
      <c r="A74" t="s">
        <v>291</v>
      </c>
      <c r="B74" s="5">
        <v>46210</v>
      </c>
      <c r="C74" t="s">
        <v>285</v>
      </c>
      <c r="D74" t="s">
        <v>67</v>
      </c>
      <c r="E74" t="s">
        <v>40</v>
      </c>
      <c r="F74" t="s">
        <v>68</v>
      </c>
      <c r="G74" t="s">
        <v>292</v>
      </c>
      <c r="H74" t="s">
        <v>293</v>
      </c>
      <c r="I74" s="6">
        <v>8.5</v>
      </c>
      <c r="J74" t="s">
        <v>71</v>
      </c>
      <c r="K74" t="s">
        <v>294</v>
      </c>
    </row>
    <row r="75" spans="1:11">
      <c r="A75" t="s">
        <v>295</v>
      </c>
      <c r="B75" s="5">
        <v>46211</v>
      </c>
      <c r="C75" t="s">
        <v>285</v>
      </c>
      <c r="D75" t="s">
        <v>67</v>
      </c>
      <c r="E75" t="s">
        <v>40</v>
      </c>
      <c r="F75" t="s">
        <v>68</v>
      </c>
      <c r="G75" t="s">
        <v>292</v>
      </c>
      <c r="H75" t="s">
        <v>293</v>
      </c>
      <c r="I75" s="6">
        <v>8.5</v>
      </c>
      <c r="J75" t="s">
        <v>71</v>
      </c>
      <c r="K75" t="s">
        <v>294</v>
      </c>
    </row>
    <row r="76" spans="1:11">
      <c r="A76" t="s">
        <v>296</v>
      </c>
      <c r="B76" s="5">
        <v>46212</v>
      </c>
      <c r="C76" t="s">
        <v>285</v>
      </c>
      <c r="D76" t="s">
        <v>67</v>
      </c>
      <c r="E76" t="s">
        <v>40</v>
      </c>
      <c r="F76" t="s">
        <v>68</v>
      </c>
      <c r="G76" t="s">
        <v>231</v>
      </c>
      <c r="H76" t="s">
        <v>232</v>
      </c>
      <c r="I76" s="6">
        <v>10.5</v>
      </c>
      <c r="J76" t="s">
        <v>71</v>
      </c>
      <c r="K76" t="s">
        <v>297</v>
      </c>
    </row>
    <row r="77" spans="1:11">
      <c r="A77" t="s">
        <v>298</v>
      </c>
      <c r="B77" s="5">
        <v>46218</v>
      </c>
      <c r="C77" t="s">
        <v>285</v>
      </c>
      <c r="D77" t="s">
        <v>67</v>
      </c>
      <c r="E77" t="s">
        <v>40</v>
      </c>
      <c r="F77" t="s">
        <v>68</v>
      </c>
      <c r="G77" t="s">
        <v>102</v>
      </c>
      <c r="H77" t="s">
        <v>103</v>
      </c>
      <c r="I77" s="6">
        <v>9.5</v>
      </c>
      <c r="J77" t="s">
        <v>71</v>
      </c>
      <c r="K77" t="s">
        <v>176</v>
      </c>
    </row>
    <row r="78" spans="1:11">
      <c r="A78" t="s">
        <v>299</v>
      </c>
      <c r="B78" s="5">
        <v>46204</v>
      </c>
      <c r="C78" t="s">
        <v>300</v>
      </c>
      <c r="D78" t="s">
        <v>67</v>
      </c>
      <c r="E78" t="s">
        <v>24</v>
      </c>
      <c r="F78" t="s">
        <v>68</v>
      </c>
      <c r="G78" t="s">
        <v>301</v>
      </c>
      <c r="H78" t="s">
        <v>302</v>
      </c>
      <c r="I78" s="6">
        <v>10</v>
      </c>
      <c r="J78" t="s">
        <v>71</v>
      </c>
      <c r="K78" t="s">
        <v>303</v>
      </c>
    </row>
    <row r="79" spans="1:11">
      <c r="A79" t="s">
        <v>304</v>
      </c>
      <c r="B79" s="5">
        <v>46205</v>
      </c>
      <c r="C79" t="s">
        <v>300</v>
      </c>
      <c r="D79" t="s">
        <v>67</v>
      </c>
      <c r="E79" t="s">
        <v>24</v>
      </c>
      <c r="F79" t="s">
        <v>68</v>
      </c>
      <c r="G79" t="s">
        <v>301</v>
      </c>
      <c r="H79" t="s">
        <v>302</v>
      </c>
      <c r="I79" s="6">
        <v>10</v>
      </c>
      <c r="J79" t="s">
        <v>71</v>
      </c>
      <c r="K79" t="s">
        <v>303</v>
      </c>
    </row>
    <row r="80" spans="1:11">
      <c r="A80" t="s">
        <v>305</v>
      </c>
      <c r="B80" s="5">
        <v>46206</v>
      </c>
      <c r="C80" t="s">
        <v>300</v>
      </c>
      <c r="D80" t="s">
        <v>67</v>
      </c>
      <c r="E80" t="s">
        <v>24</v>
      </c>
      <c r="F80" t="s">
        <v>68</v>
      </c>
      <c r="G80" t="s">
        <v>301</v>
      </c>
      <c r="H80" t="s">
        <v>302</v>
      </c>
      <c r="I80" s="6">
        <v>10</v>
      </c>
      <c r="J80" t="s">
        <v>71</v>
      </c>
      <c r="K80" t="s">
        <v>303</v>
      </c>
    </row>
    <row r="81" spans="1:11">
      <c r="A81" t="s">
        <v>306</v>
      </c>
      <c r="B81" s="5">
        <v>46209</v>
      </c>
      <c r="C81" t="s">
        <v>300</v>
      </c>
      <c r="D81" t="s">
        <v>67</v>
      </c>
      <c r="E81" t="s">
        <v>24</v>
      </c>
      <c r="F81" t="s">
        <v>68</v>
      </c>
      <c r="G81" t="s">
        <v>301</v>
      </c>
      <c r="H81" t="s">
        <v>302</v>
      </c>
      <c r="I81" s="6">
        <v>10</v>
      </c>
      <c r="J81" t="s">
        <v>71</v>
      </c>
      <c r="K81" t="s">
        <v>303</v>
      </c>
    </row>
    <row r="82" spans="1:11">
      <c r="A82" t="s">
        <v>307</v>
      </c>
      <c r="B82" s="5">
        <v>46210</v>
      </c>
      <c r="C82" t="s">
        <v>300</v>
      </c>
      <c r="D82" t="s">
        <v>67</v>
      </c>
      <c r="E82" t="s">
        <v>24</v>
      </c>
      <c r="F82" t="s">
        <v>68</v>
      </c>
      <c r="G82" t="s">
        <v>301</v>
      </c>
      <c r="H82" t="s">
        <v>302</v>
      </c>
      <c r="I82" s="6">
        <v>10</v>
      </c>
      <c r="J82" t="s">
        <v>71</v>
      </c>
      <c r="K82" t="s">
        <v>303</v>
      </c>
    </row>
    <row r="83" spans="1:11">
      <c r="A83" t="s">
        <v>308</v>
      </c>
      <c r="B83" s="5">
        <v>46211</v>
      </c>
      <c r="C83" t="s">
        <v>300</v>
      </c>
      <c r="D83" t="s">
        <v>67</v>
      </c>
      <c r="E83" t="s">
        <v>24</v>
      </c>
      <c r="F83" t="s">
        <v>68</v>
      </c>
      <c r="G83" t="s">
        <v>301</v>
      </c>
      <c r="H83" t="s">
        <v>302</v>
      </c>
      <c r="I83" s="6">
        <v>10</v>
      </c>
      <c r="J83" t="s">
        <v>71</v>
      </c>
      <c r="K83" t="s">
        <v>303</v>
      </c>
    </row>
    <row r="84" spans="1:11">
      <c r="A84" t="s">
        <v>309</v>
      </c>
      <c r="B84" s="5">
        <v>46212</v>
      </c>
      <c r="C84" t="s">
        <v>300</v>
      </c>
      <c r="D84" t="s">
        <v>67</v>
      </c>
      <c r="E84" t="s">
        <v>24</v>
      </c>
      <c r="F84" t="s">
        <v>68</v>
      </c>
      <c r="G84" t="s">
        <v>301</v>
      </c>
      <c r="H84" t="s">
        <v>302</v>
      </c>
      <c r="I84" s="6">
        <v>10</v>
      </c>
      <c r="J84" t="s">
        <v>71</v>
      </c>
      <c r="K84" t="s">
        <v>303</v>
      </c>
    </row>
    <row r="85" spans="1:11">
      <c r="A85" t="s">
        <v>310</v>
      </c>
      <c r="B85" s="5">
        <v>46213</v>
      </c>
      <c r="C85" t="s">
        <v>300</v>
      </c>
      <c r="D85" t="s">
        <v>67</v>
      </c>
      <c r="E85" t="s">
        <v>24</v>
      </c>
      <c r="F85" t="s">
        <v>68</v>
      </c>
      <c r="G85" t="s">
        <v>301</v>
      </c>
      <c r="H85" t="s">
        <v>302</v>
      </c>
      <c r="I85" s="6">
        <v>10</v>
      </c>
      <c r="J85" t="s">
        <v>71</v>
      </c>
      <c r="K85" t="s">
        <v>303</v>
      </c>
    </row>
    <row r="86" spans="1:11">
      <c r="A86" t="s">
        <v>311</v>
      </c>
      <c r="B86" s="5">
        <v>46216</v>
      </c>
      <c r="C86" t="s">
        <v>300</v>
      </c>
      <c r="D86" t="s">
        <v>67</v>
      </c>
      <c r="E86" t="s">
        <v>24</v>
      </c>
      <c r="F86" t="s">
        <v>68</v>
      </c>
      <c r="G86" t="s">
        <v>301</v>
      </c>
      <c r="H86" t="s">
        <v>302</v>
      </c>
      <c r="I86" s="6">
        <v>10</v>
      </c>
      <c r="J86" t="s">
        <v>71</v>
      </c>
      <c r="K86" t="s">
        <v>303</v>
      </c>
    </row>
    <row r="87" spans="1:11">
      <c r="A87" t="s">
        <v>312</v>
      </c>
      <c r="B87" s="5">
        <v>46217</v>
      </c>
      <c r="C87" t="s">
        <v>300</v>
      </c>
      <c r="D87" t="s">
        <v>67</v>
      </c>
      <c r="E87" t="s">
        <v>24</v>
      </c>
      <c r="F87" t="s">
        <v>68</v>
      </c>
      <c r="G87" t="s">
        <v>301</v>
      </c>
      <c r="H87" t="s">
        <v>302</v>
      </c>
      <c r="I87" s="6">
        <v>10</v>
      </c>
      <c r="J87" t="s">
        <v>71</v>
      </c>
      <c r="K87" t="s">
        <v>303</v>
      </c>
    </row>
    <row r="88" spans="1:11">
      <c r="A88" t="s">
        <v>313</v>
      </c>
      <c r="B88" s="5">
        <v>46218</v>
      </c>
      <c r="C88" t="s">
        <v>300</v>
      </c>
      <c r="D88" t="s">
        <v>67</v>
      </c>
      <c r="E88" t="s">
        <v>24</v>
      </c>
      <c r="F88" t="s">
        <v>68</v>
      </c>
      <c r="G88" t="s">
        <v>301</v>
      </c>
      <c r="H88" t="s">
        <v>302</v>
      </c>
      <c r="I88" s="6">
        <v>10</v>
      </c>
      <c r="J88" t="s">
        <v>71</v>
      </c>
      <c r="K88" t="s">
        <v>303</v>
      </c>
    </row>
    <row r="89" spans="1:11">
      <c r="A89" t="s">
        <v>314</v>
      </c>
      <c r="B89" s="5">
        <v>46204</v>
      </c>
      <c r="C89" t="s">
        <v>315</v>
      </c>
      <c r="D89" t="s">
        <v>67</v>
      </c>
      <c r="E89" t="s">
        <v>40</v>
      </c>
      <c r="F89" t="s">
        <v>179</v>
      </c>
      <c r="G89" t="s">
        <v>316</v>
      </c>
      <c r="H89" t="s">
        <v>317</v>
      </c>
      <c r="I89" s="6">
        <v>6.5</v>
      </c>
      <c r="J89" t="s">
        <v>71</v>
      </c>
      <c r="K89" t="s">
        <v>318</v>
      </c>
    </row>
    <row r="90" spans="1:11">
      <c r="A90" t="s">
        <v>319</v>
      </c>
      <c r="B90" s="5">
        <v>46205</v>
      </c>
      <c r="C90" t="s">
        <v>315</v>
      </c>
      <c r="D90" t="s">
        <v>67</v>
      </c>
      <c r="E90" t="s">
        <v>40</v>
      </c>
      <c r="F90" t="s">
        <v>82</v>
      </c>
      <c r="G90" t="s">
        <v>320</v>
      </c>
      <c r="H90" t="s">
        <v>321</v>
      </c>
      <c r="I90" s="6">
        <v>7</v>
      </c>
      <c r="J90" t="s">
        <v>71</v>
      </c>
      <c r="K90" t="s">
        <v>322</v>
      </c>
    </row>
    <row r="91" spans="1:11">
      <c r="A91" t="s">
        <v>323</v>
      </c>
      <c r="B91" s="5">
        <v>46206</v>
      </c>
      <c r="C91" t="s">
        <v>315</v>
      </c>
      <c r="D91" t="s">
        <v>67</v>
      </c>
      <c r="E91" t="s">
        <v>40</v>
      </c>
      <c r="F91" t="s">
        <v>82</v>
      </c>
      <c r="G91" t="s">
        <v>324</v>
      </c>
      <c r="H91" t="s">
        <v>325</v>
      </c>
      <c r="I91" s="6">
        <v>7</v>
      </c>
      <c r="J91" t="s">
        <v>71</v>
      </c>
      <c r="K91" t="s">
        <v>326</v>
      </c>
    </row>
    <row r="92" spans="1:11">
      <c r="A92" t="s">
        <v>327</v>
      </c>
      <c r="B92" s="5">
        <v>46209</v>
      </c>
      <c r="C92" t="s">
        <v>315</v>
      </c>
      <c r="D92" t="s">
        <v>67</v>
      </c>
      <c r="E92" t="s">
        <v>40</v>
      </c>
      <c r="F92" t="s">
        <v>82</v>
      </c>
      <c r="G92" t="s">
        <v>328</v>
      </c>
      <c r="H92" t="s">
        <v>329</v>
      </c>
      <c r="I92" s="6">
        <v>8.5</v>
      </c>
      <c r="J92" t="s">
        <v>71</v>
      </c>
      <c r="K92" t="s">
        <v>330</v>
      </c>
    </row>
    <row r="93" spans="1:11">
      <c r="A93" t="s">
        <v>331</v>
      </c>
      <c r="B93" s="5">
        <v>46210</v>
      </c>
      <c r="C93" t="s">
        <v>315</v>
      </c>
      <c r="D93" t="s">
        <v>67</v>
      </c>
      <c r="E93" t="s">
        <v>40</v>
      </c>
      <c r="F93" t="s">
        <v>82</v>
      </c>
      <c r="G93" t="s">
        <v>328</v>
      </c>
      <c r="H93" t="s">
        <v>329</v>
      </c>
      <c r="I93" s="6">
        <v>8.5</v>
      </c>
      <c r="J93" t="s">
        <v>71</v>
      </c>
      <c r="K93" t="s">
        <v>330</v>
      </c>
    </row>
    <row r="94" spans="1:11">
      <c r="A94" t="s">
        <v>332</v>
      </c>
      <c r="B94" s="5">
        <v>46212</v>
      </c>
      <c r="C94" t="s">
        <v>315</v>
      </c>
      <c r="D94" t="s">
        <v>67</v>
      </c>
      <c r="E94" t="s">
        <v>40</v>
      </c>
      <c r="F94" t="s">
        <v>82</v>
      </c>
      <c r="G94" t="s">
        <v>328</v>
      </c>
      <c r="H94" t="s">
        <v>329</v>
      </c>
      <c r="I94" s="6">
        <v>8</v>
      </c>
      <c r="J94" t="s">
        <v>71</v>
      </c>
      <c r="K94" t="s">
        <v>333</v>
      </c>
    </row>
    <row r="95" spans="1:11">
      <c r="A95" t="s">
        <v>334</v>
      </c>
      <c r="B95" s="5">
        <v>46213</v>
      </c>
      <c r="C95" t="s">
        <v>315</v>
      </c>
      <c r="D95" t="s">
        <v>67</v>
      </c>
      <c r="E95" t="s">
        <v>40</v>
      </c>
      <c r="F95" t="s">
        <v>82</v>
      </c>
      <c r="G95" t="s">
        <v>335</v>
      </c>
      <c r="H95" t="s">
        <v>336</v>
      </c>
      <c r="I95" s="6">
        <v>8</v>
      </c>
      <c r="J95" t="s">
        <v>71</v>
      </c>
      <c r="K95" t="s">
        <v>337</v>
      </c>
    </row>
    <row r="96" spans="1:11">
      <c r="A96" t="s">
        <v>338</v>
      </c>
      <c r="B96" s="5">
        <v>46216</v>
      </c>
      <c r="C96" t="s">
        <v>315</v>
      </c>
      <c r="D96" t="s">
        <v>67</v>
      </c>
      <c r="E96" t="s">
        <v>40</v>
      </c>
      <c r="F96" t="s">
        <v>82</v>
      </c>
      <c r="G96" t="s">
        <v>102</v>
      </c>
      <c r="H96" t="s">
        <v>103</v>
      </c>
      <c r="I96" s="6">
        <v>8.5</v>
      </c>
      <c r="J96" t="s">
        <v>71</v>
      </c>
      <c r="K96" t="s">
        <v>339</v>
      </c>
    </row>
    <row r="97" spans="1:11">
      <c r="A97" t="s">
        <v>340</v>
      </c>
      <c r="B97" s="5">
        <v>46217</v>
      </c>
      <c r="C97" t="s">
        <v>315</v>
      </c>
      <c r="D97" t="s">
        <v>67</v>
      </c>
      <c r="E97" t="s">
        <v>40</v>
      </c>
      <c r="F97" t="s">
        <v>82</v>
      </c>
      <c r="G97" t="s">
        <v>102</v>
      </c>
      <c r="H97" t="s">
        <v>103</v>
      </c>
      <c r="I97" s="6">
        <v>11</v>
      </c>
      <c r="J97" t="s">
        <v>71</v>
      </c>
      <c r="K97" t="s">
        <v>341</v>
      </c>
    </row>
    <row r="98" spans="1:11">
      <c r="A98" t="s">
        <v>342</v>
      </c>
      <c r="B98" s="5">
        <v>46218</v>
      </c>
      <c r="C98" t="s">
        <v>315</v>
      </c>
      <c r="D98" t="s">
        <v>67</v>
      </c>
      <c r="E98" t="s">
        <v>40</v>
      </c>
      <c r="F98" t="s">
        <v>82</v>
      </c>
      <c r="G98" t="s">
        <v>102</v>
      </c>
      <c r="H98" t="s">
        <v>103</v>
      </c>
      <c r="I98" s="6">
        <v>8</v>
      </c>
      <c r="J98" t="s">
        <v>71</v>
      </c>
      <c r="K98" t="s">
        <v>343</v>
      </c>
    </row>
    <row r="99" spans="1:11">
      <c r="A99" t="s">
        <v>344</v>
      </c>
      <c r="B99" s="5">
        <v>46204</v>
      </c>
      <c r="C99" t="s">
        <v>345</v>
      </c>
      <c r="D99" t="s">
        <v>67</v>
      </c>
      <c r="E99" t="s">
        <v>40</v>
      </c>
      <c r="F99" t="s">
        <v>68</v>
      </c>
      <c r="G99" t="s">
        <v>292</v>
      </c>
      <c r="H99" t="s">
        <v>293</v>
      </c>
      <c r="I99" s="6">
        <v>8.5</v>
      </c>
      <c r="J99" t="s">
        <v>71</v>
      </c>
      <c r="K99" t="s">
        <v>294</v>
      </c>
    </row>
    <row r="100" spans="1:11">
      <c r="A100" t="s">
        <v>346</v>
      </c>
      <c r="B100" s="5">
        <v>46209</v>
      </c>
      <c r="C100" t="s">
        <v>345</v>
      </c>
      <c r="D100" t="s">
        <v>67</v>
      </c>
      <c r="E100" t="s">
        <v>40</v>
      </c>
      <c r="F100" t="s">
        <v>68</v>
      </c>
      <c r="G100" t="s">
        <v>292</v>
      </c>
      <c r="H100" t="s">
        <v>293</v>
      </c>
      <c r="I100" s="6">
        <v>8.5</v>
      </c>
      <c r="J100" t="s">
        <v>71</v>
      </c>
      <c r="K100" t="s">
        <v>294</v>
      </c>
    </row>
    <row r="101" spans="1:11">
      <c r="A101" t="s">
        <v>347</v>
      </c>
      <c r="B101" s="5">
        <v>46210</v>
      </c>
      <c r="C101" t="s">
        <v>345</v>
      </c>
      <c r="D101" t="s">
        <v>67</v>
      </c>
      <c r="E101" t="s">
        <v>40</v>
      </c>
      <c r="F101" t="s">
        <v>68</v>
      </c>
      <c r="G101" t="s">
        <v>292</v>
      </c>
      <c r="H101" t="s">
        <v>293</v>
      </c>
      <c r="I101" s="6">
        <v>8.5</v>
      </c>
      <c r="J101" t="s">
        <v>71</v>
      </c>
      <c r="K101" t="s">
        <v>294</v>
      </c>
    </row>
    <row r="102" spans="1:11">
      <c r="A102" t="s">
        <v>348</v>
      </c>
      <c r="B102" s="5">
        <v>46204</v>
      </c>
      <c r="C102" t="s">
        <v>349</v>
      </c>
      <c r="D102" t="s">
        <v>67</v>
      </c>
      <c r="E102" t="s">
        <v>28</v>
      </c>
      <c r="F102" t="s">
        <v>179</v>
      </c>
      <c r="G102" t="s">
        <v>350</v>
      </c>
      <c r="H102" t="s">
        <v>351</v>
      </c>
      <c r="I102" s="6">
        <v>8.75</v>
      </c>
      <c r="J102" t="s">
        <v>194</v>
      </c>
      <c r="K102" t="s">
        <v>352</v>
      </c>
    </row>
    <row r="103" spans="1:11">
      <c r="A103" t="s">
        <v>353</v>
      </c>
      <c r="B103" s="5">
        <v>46209</v>
      </c>
      <c r="C103" t="s">
        <v>349</v>
      </c>
      <c r="D103" t="s">
        <v>67</v>
      </c>
      <c r="E103" t="s">
        <v>28</v>
      </c>
      <c r="F103" t="s">
        <v>179</v>
      </c>
      <c r="G103" t="s">
        <v>263</v>
      </c>
      <c r="H103" t="s">
        <v>264</v>
      </c>
      <c r="I103" s="6">
        <v>9.25</v>
      </c>
      <c r="J103" t="s">
        <v>194</v>
      </c>
      <c r="K103" t="s">
        <v>354</v>
      </c>
    </row>
    <row r="104" spans="1:11">
      <c r="A104" t="s">
        <v>355</v>
      </c>
      <c r="B104" s="5">
        <v>46210</v>
      </c>
      <c r="C104" t="s">
        <v>349</v>
      </c>
      <c r="D104" t="s">
        <v>67</v>
      </c>
      <c r="E104" t="s">
        <v>28</v>
      </c>
      <c r="F104" t="s">
        <v>179</v>
      </c>
      <c r="G104" t="s">
        <v>356</v>
      </c>
      <c r="H104" t="s">
        <v>357</v>
      </c>
      <c r="I104" s="6">
        <v>10</v>
      </c>
      <c r="J104" t="s">
        <v>71</v>
      </c>
      <c r="K104" t="s">
        <v>358</v>
      </c>
    </row>
    <row r="105" spans="1:11">
      <c r="A105" t="s">
        <v>359</v>
      </c>
      <c r="B105" s="5">
        <v>46211</v>
      </c>
      <c r="C105" t="s">
        <v>349</v>
      </c>
      <c r="D105" t="s">
        <v>67</v>
      </c>
      <c r="E105" t="s">
        <v>29</v>
      </c>
      <c r="F105" t="s">
        <v>68</v>
      </c>
      <c r="G105" t="s">
        <v>201</v>
      </c>
      <c r="H105" t="s">
        <v>202</v>
      </c>
      <c r="I105" s="6">
        <v>8.5</v>
      </c>
      <c r="J105" t="s">
        <v>71</v>
      </c>
      <c r="K105" t="s">
        <v>360</v>
      </c>
    </row>
    <row r="106" spans="1:11">
      <c r="A106" t="s">
        <v>361</v>
      </c>
      <c r="B106" s="5">
        <v>46213</v>
      </c>
      <c r="C106" t="s">
        <v>349</v>
      </c>
      <c r="D106" t="s">
        <v>67</v>
      </c>
      <c r="E106" t="s">
        <v>28</v>
      </c>
      <c r="F106" t="s">
        <v>179</v>
      </c>
      <c r="G106" t="s">
        <v>362</v>
      </c>
      <c r="H106" t="s">
        <v>363</v>
      </c>
      <c r="I106" s="6">
        <v>5</v>
      </c>
      <c r="J106" t="s">
        <v>71</v>
      </c>
      <c r="K106" t="s">
        <v>364</v>
      </c>
    </row>
    <row r="107" spans="1:11">
      <c r="A107" t="s">
        <v>365</v>
      </c>
      <c r="B107" s="5">
        <v>46214</v>
      </c>
      <c r="C107" t="s">
        <v>349</v>
      </c>
      <c r="D107" t="s">
        <v>67</v>
      </c>
      <c r="E107" t="s">
        <v>28</v>
      </c>
      <c r="F107" t="s">
        <v>179</v>
      </c>
      <c r="G107" t="s">
        <v>362</v>
      </c>
      <c r="H107" t="s">
        <v>363</v>
      </c>
      <c r="I107" s="6">
        <v>7</v>
      </c>
      <c r="J107" t="s">
        <v>71</v>
      </c>
      <c r="K107" t="s">
        <v>366</v>
      </c>
    </row>
    <row r="108" spans="1:11">
      <c r="A108" t="s">
        <v>367</v>
      </c>
      <c r="B108" s="5">
        <v>46216</v>
      </c>
      <c r="C108" t="s">
        <v>349</v>
      </c>
      <c r="D108" t="s">
        <v>67</v>
      </c>
      <c r="E108" t="s">
        <v>28</v>
      </c>
      <c r="F108" t="s">
        <v>179</v>
      </c>
      <c r="G108" t="s">
        <v>368</v>
      </c>
      <c r="H108" t="s">
        <v>369</v>
      </c>
      <c r="I108" s="6">
        <v>6.75</v>
      </c>
      <c r="J108" t="s">
        <v>194</v>
      </c>
      <c r="K108" t="s">
        <v>370</v>
      </c>
    </row>
    <row r="109" spans="1:11">
      <c r="A109" t="s">
        <v>371</v>
      </c>
      <c r="B109" s="5">
        <v>46217</v>
      </c>
      <c r="C109" t="s">
        <v>349</v>
      </c>
      <c r="D109" t="s">
        <v>67</v>
      </c>
      <c r="E109" t="s">
        <v>40</v>
      </c>
      <c r="F109" t="s">
        <v>179</v>
      </c>
      <c r="G109" t="s">
        <v>372</v>
      </c>
      <c r="H109" t="s">
        <v>373</v>
      </c>
      <c r="I109" s="6">
        <v>2.75</v>
      </c>
      <c r="J109" t="s">
        <v>71</v>
      </c>
      <c r="K109" t="s">
        <v>374</v>
      </c>
    </row>
    <row r="110" spans="1:11">
      <c r="A110" t="s">
        <v>375</v>
      </c>
      <c r="B110" s="5">
        <v>46218</v>
      </c>
      <c r="C110" t="s">
        <v>349</v>
      </c>
      <c r="D110" t="s">
        <v>67</v>
      </c>
      <c r="E110" t="s">
        <v>28</v>
      </c>
      <c r="F110" t="s">
        <v>68</v>
      </c>
      <c r="G110" t="s">
        <v>219</v>
      </c>
      <c r="H110" t="s">
        <v>220</v>
      </c>
      <c r="I110" s="6">
        <v>8.5</v>
      </c>
      <c r="J110" t="s">
        <v>71</v>
      </c>
      <c r="K110" t="s">
        <v>221</v>
      </c>
    </row>
    <row r="111" spans="1:11">
      <c r="A111" t="s">
        <v>376</v>
      </c>
      <c r="B111" s="5">
        <v>46205</v>
      </c>
      <c r="C111" t="s">
        <v>377</v>
      </c>
      <c r="D111" t="s">
        <v>67</v>
      </c>
      <c r="E111" t="s">
        <v>24</v>
      </c>
      <c r="F111" t="s">
        <v>179</v>
      </c>
      <c r="G111" t="s">
        <v>378</v>
      </c>
      <c r="H111" t="s">
        <v>379</v>
      </c>
      <c r="I111" s="6">
        <v>10.5</v>
      </c>
      <c r="J111" t="s">
        <v>71</v>
      </c>
      <c r="K111" t="s">
        <v>380</v>
      </c>
    </row>
    <row r="112" spans="1:11">
      <c r="A112" t="s">
        <v>381</v>
      </c>
      <c r="B112" s="5">
        <v>46206</v>
      </c>
      <c r="C112" t="s">
        <v>377</v>
      </c>
      <c r="D112" t="s">
        <v>67</v>
      </c>
      <c r="E112" t="s">
        <v>24</v>
      </c>
      <c r="F112" t="s">
        <v>179</v>
      </c>
      <c r="G112" t="s">
        <v>378</v>
      </c>
      <c r="H112" t="s">
        <v>379</v>
      </c>
      <c r="I112" s="6">
        <v>9</v>
      </c>
      <c r="J112" t="s">
        <v>71</v>
      </c>
      <c r="K112" t="s">
        <v>382</v>
      </c>
    </row>
    <row r="113" spans="1:11">
      <c r="A113" t="s">
        <v>383</v>
      </c>
      <c r="B113" s="5">
        <v>46209</v>
      </c>
      <c r="C113" t="s">
        <v>377</v>
      </c>
      <c r="D113" t="s">
        <v>67</v>
      </c>
      <c r="E113" t="s">
        <v>24</v>
      </c>
      <c r="F113" t="s">
        <v>179</v>
      </c>
      <c r="G113" t="s">
        <v>384</v>
      </c>
      <c r="H113" t="s">
        <v>385</v>
      </c>
      <c r="I113" s="6">
        <v>6.5</v>
      </c>
      <c r="J113" t="s">
        <v>71</v>
      </c>
      <c r="K113" t="s">
        <v>386</v>
      </c>
    </row>
    <row r="114" spans="1:11">
      <c r="A114" t="s">
        <v>387</v>
      </c>
      <c r="B114" s="5">
        <v>46210</v>
      </c>
      <c r="C114" t="s">
        <v>377</v>
      </c>
      <c r="D114" t="s">
        <v>67</v>
      </c>
      <c r="E114" t="s">
        <v>24</v>
      </c>
      <c r="F114" t="s">
        <v>179</v>
      </c>
      <c r="G114" t="s">
        <v>388</v>
      </c>
      <c r="H114" t="s">
        <v>389</v>
      </c>
      <c r="I114" s="6">
        <v>5</v>
      </c>
      <c r="J114" t="s">
        <v>71</v>
      </c>
      <c r="K114" t="s">
        <v>390</v>
      </c>
    </row>
    <row r="115" spans="1:11">
      <c r="A115" t="s">
        <v>391</v>
      </c>
      <c r="B115" s="5">
        <v>46211</v>
      </c>
      <c r="C115" t="s">
        <v>377</v>
      </c>
      <c r="D115" t="s">
        <v>67</v>
      </c>
      <c r="E115" t="s">
        <v>24</v>
      </c>
      <c r="F115" t="s">
        <v>179</v>
      </c>
      <c r="G115" t="s">
        <v>392</v>
      </c>
      <c r="H115" t="s">
        <v>393</v>
      </c>
      <c r="I115" s="6">
        <v>8</v>
      </c>
      <c r="J115" t="s">
        <v>71</v>
      </c>
      <c r="K115" t="s">
        <v>394</v>
      </c>
    </row>
    <row r="116" spans="1:11">
      <c r="A116" t="s">
        <v>395</v>
      </c>
      <c r="B116" s="5">
        <v>46212</v>
      </c>
      <c r="C116" t="s">
        <v>377</v>
      </c>
      <c r="D116" t="s">
        <v>67</v>
      </c>
      <c r="E116" t="s">
        <v>24</v>
      </c>
      <c r="F116" t="s">
        <v>179</v>
      </c>
      <c r="G116" t="s">
        <v>392</v>
      </c>
      <c r="H116" t="s">
        <v>393</v>
      </c>
      <c r="I116" s="6">
        <v>6</v>
      </c>
      <c r="J116" t="s">
        <v>71</v>
      </c>
      <c r="K116" t="s">
        <v>396</v>
      </c>
    </row>
    <row r="117" spans="1:11">
      <c r="A117" t="s">
        <v>397</v>
      </c>
      <c r="B117" s="5">
        <v>46213</v>
      </c>
      <c r="C117" t="s">
        <v>377</v>
      </c>
      <c r="D117" t="s">
        <v>67</v>
      </c>
      <c r="E117" t="s">
        <v>24</v>
      </c>
      <c r="F117" t="s">
        <v>179</v>
      </c>
      <c r="G117" t="s">
        <v>398</v>
      </c>
      <c r="H117" t="s">
        <v>399</v>
      </c>
      <c r="I117" s="6">
        <v>11</v>
      </c>
      <c r="J117" t="s">
        <v>95</v>
      </c>
      <c r="K117" t="s">
        <v>400</v>
      </c>
    </row>
    <row r="118" spans="1:11">
      <c r="A118" t="s">
        <v>401</v>
      </c>
      <c r="B118" s="5">
        <v>46216</v>
      </c>
      <c r="C118" t="s">
        <v>377</v>
      </c>
      <c r="D118" t="s">
        <v>67</v>
      </c>
      <c r="E118" t="s">
        <v>17</v>
      </c>
      <c r="F118" t="s">
        <v>179</v>
      </c>
      <c r="G118" t="s">
        <v>402</v>
      </c>
      <c r="H118" t="s">
        <v>403</v>
      </c>
      <c r="I118" s="6">
        <v>5</v>
      </c>
      <c r="J118" t="s">
        <v>71</v>
      </c>
      <c r="K118" t="s">
        <v>404</v>
      </c>
    </row>
    <row r="119" spans="1:11">
      <c r="A119" t="s">
        <v>405</v>
      </c>
      <c r="B119" s="5">
        <v>46217</v>
      </c>
      <c r="C119" t="s">
        <v>377</v>
      </c>
      <c r="D119" t="s">
        <v>67</v>
      </c>
      <c r="E119" t="s">
        <v>24</v>
      </c>
      <c r="F119" t="s">
        <v>179</v>
      </c>
      <c r="G119" t="s">
        <v>406</v>
      </c>
      <c r="H119" t="s">
        <v>407</v>
      </c>
      <c r="I119" s="6">
        <v>6.5</v>
      </c>
      <c r="J119" t="s">
        <v>71</v>
      </c>
      <c r="K119" t="s">
        <v>408</v>
      </c>
    </row>
    <row r="120" spans="1:11">
      <c r="A120" t="s">
        <v>409</v>
      </c>
      <c r="B120" s="5">
        <v>46218</v>
      </c>
      <c r="C120" t="s">
        <v>377</v>
      </c>
      <c r="D120" t="s">
        <v>67</v>
      </c>
      <c r="E120" t="s">
        <v>24</v>
      </c>
      <c r="F120" t="s">
        <v>179</v>
      </c>
      <c r="G120" t="s">
        <v>406</v>
      </c>
      <c r="H120" t="s">
        <v>407</v>
      </c>
      <c r="I120" s="6">
        <v>5</v>
      </c>
      <c r="J120" t="s">
        <v>71</v>
      </c>
      <c r="K120" t="s">
        <v>410</v>
      </c>
    </row>
    <row r="121" spans="1:11">
      <c r="A121" t="s">
        <v>411</v>
      </c>
      <c r="B121" s="5">
        <v>46204</v>
      </c>
      <c r="C121" t="s">
        <v>412</v>
      </c>
      <c r="D121" t="s">
        <v>67</v>
      </c>
      <c r="E121" t="s">
        <v>40</v>
      </c>
      <c r="F121" t="s">
        <v>179</v>
      </c>
      <c r="G121" t="s">
        <v>413</v>
      </c>
      <c r="H121" t="s">
        <v>414</v>
      </c>
      <c r="I121" s="6">
        <v>8.5</v>
      </c>
      <c r="J121" t="s">
        <v>71</v>
      </c>
      <c r="K121" t="s">
        <v>415</v>
      </c>
    </row>
    <row r="122" spans="1:11">
      <c r="A122" t="s">
        <v>416</v>
      </c>
      <c r="B122" s="5">
        <v>46205</v>
      </c>
      <c r="C122" t="s">
        <v>412</v>
      </c>
      <c r="D122" t="s">
        <v>67</v>
      </c>
      <c r="E122" t="s">
        <v>40</v>
      </c>
      <c r="F122" t="s">
        <v>179</v>
      </c>
      <c r="G122" t="s">
        <v>417</v>
      </c>
      <c r="H122" t="s">
        <v>418</v>
      </c>
      <c r="I122" s="6">
        <v>12.5</v>
      </c>
      <c r="J122" t="s">
        <v>71</v>
      </c>
      <c r="K122" t="s">
        <v>419</v>
      </c>
    </row>
    <row r="123" spans="1:11">
      <c r="A123" t="s">
        <v>420</v>
      </c>
      <c r="B123" s="5">
        <v>46206</v>
      </c>
      <c r="C123" t="s">
        <v>412</v>
      </c>
      <c r="D123" t="s">
        <v>67</v>
      </c>
      <c r="E123" t="s">
        <v>40</v>
      </c>
      <c r="F123" t="s">
        <v>179</v>
      </c>
      <c r="G123" t="s">
        <v>324</v>
      </c>
      <c r="H123" t="s">
        <v>325</v>
      </c>
      <c r="I123" s="6">
        <v>7</v>
      </c>
      <c r="J123" t="s">
        <v>71</v>
      </c>
      <c r="K123" t="s">
        <v>421</v>
      </c>
    </row>
    <row r="124" spans="1:11">
      <c r="A124" t="s">
        <v>422</v>
      </c>
      <c r="B124" s="5">
        <v>46209</v>
      </c>
      <c r="C124" t="s">
        <v>412</v>
      </c>
      <c r="D124" t="s">
        <v>67</v>
      </c>
      <c r="E124" t="s">
        <v>40</v>
      </c>
      <c r="F124" t="s">
        <v>179</v>
      </c>
      <c r="G124" t="s">
        <v>150</v>
      </c>
      <c r="H124" t="s">
        <v>151</v>
      </c>
      <c r="I124" s="6">
        <v>8.5</v>
      </c>
      <c r="J124" t="s">
        <v>71</v>
      </c>
      <c r="K124" t="s">
        <v>423</v>
      </c>
    </row>
    <row r="125" spans="1:11">
      <c r="A125" t="s">
        <v>424</v>
      </c>
      <c r="B125" s="5">
        <v>46210</v>
      </c>
      <c r="C125" t="s">
        <v>412</v>
      </c>
      <c r="D125" t="s">
        <v>67</v>
      </c>
      <c r="E125" t="s">
        <v>40</v>
      </c>
      <c r="F125" t="s">
        <v>179</v>
      </c>
      <c r="G125" t="s">
        <v>425</v>
      </c>
      <c r="H125" t="s">
        <v>112</v>
      </c>
      <c r="I125" s="6">
        <v>8</v>
      </c>
      <c r="J125" t="s">
        <v>71</v>
      </c>
      <c r="K125" t="s">
        <v>426</v>
      </c>
    </row>
    <row r="126" spans="1:11">
      <c r="A126" t="s">
        <v>427</v>
      </c>
      <c r="B126" s="5">
        <v>46211</v>
      </c>
      <c r="C126" t="s">
        <v>412</v>
      </c>
      <c r="D126" t="s">
        <v>67</v>
      </c>
      <c r="E126" t="s">
        <v>40</v>
      </c>
      <c r="F126" t="s">
        <v>179</v>
      </c>
      <c r="G126" t="s">
        <v>428</v>
      </c>
      <c r="H126" t="s">
        <v>429</v>
      </c>
      <c r="I126" s="6">
        <v>6</v>
      </c>
      <c r="J126" t="s">
        <v>95</v>
      </c>
      <c r="K126" t="s">
        <v>430</v>
      </c>
    </row>
    <row r="127" spans="1:11">
      <c r="A127" t="s">
        <v>431</v>
      </c>
      <c r="B127" s="5">
        <v>46213</v>
      </c>
      <c r="C127" t="s">
        <v>412</v>
      </c>
      <c r="D127" t="s">
        <v>67</v>
      </c>
      <c r="E127" t="s">
        <v>40</v>
      </c>
      <c r="F127" t="s">
        <v>179</v>
      </c>
      <c r="G127" t="s">
        <v>335</v>
      </c>
      <c r="H127" t="s">
        <v>336</v>
      </c>
      <c r="I127" s="6">
        <v>8</v>
      </c>
      <c r="J127" t="s">
        <v>71</v>
      </c>
      <c r="K127" t="s">
        <v>432</v>
      </c>
    </row>
    <row r="128" spans="1:11">
      <c r="A128" t="s">
        <v>433</v>
      </c>
      <c r="B128" s="5">
        <v>46216</v>
      </c>
      <c r="C128" t="s">
        <v>412</v>
      </c>
      <c r="D128" t="s">
        <v>67</v>
      </c>
      <c r="E128" t="s">
        <v>40</v>
      </c>
      <c r="F128" t="s">
        <v>179</v>
      </c>
      <c r="G128" t="s">
        <v>434</v>
      </c>
      <c r="H128" t="s">
        <v>435</v>
      </c>
      <c r="I128" s="6">
        <v>4.5</v>
      </c>
      <c r="J128" t="s">
        <v>71</v>
      </c>
      <c r="K128" t="s">
        <v>436</v>
      </c>
    </row>
    <row r="129" spans="1:11">
      <c r="A129" t="s">
        <v>437</v>
      </c>
      <c r="B129" s="5">
        <v>46205</v>
      </c>
      <c r="C129" t="s">
        <v>438</v>
      </c>
      <c r="D129" t="s">
        <v>67</v>
      </c>
      <c r="E129" t="s">
        <v>17</v>
      </c>
      <c r="F129" t="s">
        <v>179</v>
      </c>
      <c r="G129" t="s">
        <v>252</v>
      </c>
      <c r="H129" t="s">
        <v>249</v>
      </c>
      <c r="I129" s="6">
        <v>8.5</v>
      </c>
      <c r="J129" t="s">
        <v>71</v>
      </c>
      <c r="K129" t="s">
        <v>439</v>
      </c>
    </row>
    <row r="130" spans="1:11">
      <c r="A130" t="s">
        <v>440</v>
      </c>
      <c r="B130" s="5">
        <v>46206</v>
      </c>
      <c r="C130" t="s">
        <v>438</v>
      </c>
      <c r="D130" t="s">
        <v>67</v>
      </c>
      <c r="E130" t="s">
        <v>17</v>
      </c>
      <c r="F130" t="s">
        <v>68</v>
      </c>
      <c r="G130" t="s">
        <v>252</v>
      </c>
      <c r="H130" t="s">
        <v>249</v>
      </c>
      <c r="I130" s="6">
        <v>8.5</v>
      </c>
      <c r="J130" t="s">
        <v>71</v>
      </c>
      <c r="K130" t="s">
        <v>253</v>
      </c>
    </row>
    <row r="131" spans="1:11">
      <c r="A131" t="s">
        <v>441</v>
      </c>
      <c r="B131" s="5">
        <v>46209</v>
      </c>
      <c r="C131" t="s">
        <v>438</v>
      </c>
      <c r="D131" t="s">
        <v>67</v>
      </c>
      <c r="E131" t="s">
        <v>24</v>
      </c>
      <c r="F131" t="s">
        <v>68</v>
      </c>
      <c r="G131" t="s">
        <v>442</v>
      </c>
      <c r="H131" t="s">
        <v>443</v>
      </c>
      <c r="I131" s="6">
        <v>12</v>
      </c>
      <c r="J131" t="s">
        <v>71</v>
      </c>
      <c r="K131" t="s">
        <v>444</v>
      </c>
    </row>
    <row r="132" spans="1:11">
      <c r="A132" t="s">
        <v>445</v>
      </c>
      <c r="B132" s="5">
        <v>46210</v>
      </c>
      <c r="C132" t="s">
        <v>438</v>
      </c>
      <c r="D132" t="s">
        <v>67</v>
      </c>
      <c r="E132" t="s">
        <v>446</v>
      </c>
      <c r="F132" t="s">
        <v>68</v>
      </c>
      <c r="G132" t="s">
        <v>447</v>
      </c>
      <c r="H132" t="s">
        <v>448</v>
      </c>
      <c r="I132" s="6">
        <v>18</v>
      </c>
      <c r="J132" t="s">
        <v>95</v>
      </c>
      <c r="K132" t="s">
        <v>449</v>
      </c>
    </row>
    <row r="133" spans="1:11">
      <c r="A133" t="s">
        <v>450</v>
      </c>
      <c r="B133" s="5">
        <v>46204</v>
      </c>
      <c r="C133" t="s">
        <v>451</v>
      </c>
      <c r="D133" t="s">
        <v>67</v>
      </c>
      <c r="E133" t="s">
        <v>28</v>
      </c>
      <c r="F133" t="s">
        <v>82</v>
      </c>
      <c r="G133" t="s">
        <v>452</v>
      </c>
      <c r="H133" t="s">
        <v>453</v>
      </c>
      <c r="I133" s="6">
        <v>7</v>
      </c>
      <c r="J133" t="s">
        <v>71</v>
      </c>
      <c r="K133" t="s">
        <v>454</v>
      </c>
    </row>
    <row r="134" spans="1:11">
      <c r="A134" t="s">
        <v>455</v>
      </c>
      <c r="B134" s="5">
        <v>46205</v>
      </c>
      <c r="C134" t="s">
        <v>451</v>
      </c>
      <c r="D134" t="s">
        <v>67</v>
      </c>
      <c r="E134" t="s">
        <v>17</v>
      </c>
      <c r="F134" t="s">
        <v>68</v>
      </c>
      <c r="G134" t="s">
        <v>456</v>
      </c>
      <c r="H134" t="s">
        <v>457</v>
      </c>
      <c r="I134" s="6">
        <v>9</v>
      </c>
      <c r="J134" t="s">
        <v>71</v>
      </c>
      <c r="K134" t="s">
        <v>458</v>
      </c>
    </row>
    <row r="135" spans="1:11">
      <c r="A135" t="s">
        <v>459</v>
      </c>
      <c r="B135" s="5">
        <v>46206</v>
      </c>
      <c r="C135" t="s">
        <v>451</v>
      </c>
      <c r="D135" t="s">
        <v>67</v>
      </c>
      <c r="E135" t="s">
        <v>28</v>
      </c>
      <c r="F135" t="s">
        <v>68</v>
      </c>
      <c r="G135" t="s">
        <v>460</v>
      </c>
      <c r="H135" t="s">
        <v>461</v>
      </c>
      <c r="I135" s="6">
        <v>5.5</v>
      </c>
      <c r="J135" t="s">
        <v>194</v>
      </c>
      <c r="K135" t="s">
        <v>462</v>
      </c>
    </row>
    <row r="136" spans="1:11">
      <c r="A136" t="s">
        <v>463</v>
      </c>
      <c r="B136" s="5">
        <v>46209</v>
      </c>
      <c r="C136" t="s">
        <v>451</v>
      </c>
      <c r="D136" t="s">
        <v>67</v>
      </c>
      <c r="E136" t="s">
        <v>28</v>
      </c>
      <c r="F136" t="s">
        <v>68</v>
      </c>
      <c r="G136" t="s">
        <v>452</v>
      </c>
      <c r="H136" t="s">
        <v>453</v>
      </c>
      <c r="I136" s="6">
        <v>6.5</v>
      </c>
      <c r="J136" t="s">
        <v>71</v>
      </c>
      <c r="K136" t="s">
        <v>464</v>
      </c>
    </row>
    <row r="137" spans="1:11">
      <c r="A137" t="s">
        <v>465</v>
      </c>
      <c r="B137" s="5">
        <v>46210</v>
      </c>
      <c r="C137" t="s">
        <v>451</v>
      </c>
      <c r="D137" t="s">
        <v>67</v>
      </c>
      <c r="E137" t="s">
        <v>28</v>
      </c>
      <c r="F137" t="s">
        <v>68</v>
      </c>
      <c r="G137" t="s">
        <v>452</v>
      </c>
      <c r="H137" t="s">
        <v>453</v>
      </c>
      <c r="I137" s="6">
        <v>6</v>
      </c>
      <c r="J137" t="s">
        <v>71</v>
      </c>
      <c r="K137" t="s">
        <v>466</v>
      </c>
    </row>
    <row r="138" spans="1:11">
      <c r="A138" t="s">
        <v>467</v>
      </c>
      <c r="B138" s="5">
        <v>46211</v>
      </c>
      <c r="C138" t="s">
        <v>451</v>
      </c>
      <c r="D138" t="s">
        <v>67</v>
      </c>
      <c r="E138" t="s">
        <v>28</v>
      </c>
      <c r="F138" t="s">
        <v>68</v>
      </c>
      <c r="G138" t="s">
        <v>468</v>
      </c>
      <c r="H138" t="s">
        <v>469</v>
      </c>
      <c r="I138" s="6">
        <v>10.5</v>
      </c>
      <c r="J138" t="s">
        <v>95</v>
      </c>
      <c r="K138" t="s">
        <v>470</v>
      </c>
    </row>
    <row r="139" spans="1:11">
      <c r="A139" t="s">
        <v>471</v>
      </c>
      <c r="B139" s="5">
        <v>46212</v>
      </c>
      <c r="C139" t="s">
        <v>451</v>
      </c>
      <c r="D139" t="s">
        <v>67</v>
      </c>
      <c r="E139" t="s">
        <v>28</v>
      </c>
      <c r="F139" t="s">
        <v>68</v>
      </c>
      <c r="G139" t="s">
        <v>472</v>
      </c>
      <c r="H139" t="s">
        <v>473</v>
      </c>
      <c r="I139" s="6">
        <v>7.25</v>
      </c>
      <c r="J139" t="s">
        <v>71</v>
      </c>
      <c r="K139" t="s">
        <v>474</v>
      </c>
    </row>
    <row r="140" spans="1:11">
      <c r="A140" t="s">
        <v>475</v>
      </c>
      <c r="B140" s="5">
        <v>46213</v>
      </c>
      <c r="C140" t="s">
        <v>451</v>
      </c>
      <c r="D140" t="s">
        <v>67</v>
      </c>
      <c r="E140" t="s">
        <v>28</v>
      </c>
      <c r="F140" t="s">
        <v>68</v>
      </c>
      <c r="G140" t="s">
        <v>362</v>
      </c>
      <c r="H140" t="s">
        <v>363</v>
      </c>
      <c r="I140" s="6">
        <v>5</v>
      </c>
      <c r="J140" t="s">
        <v>71</v>
      </c>
      <c r="K140" t="s">
        <v>476</v>
      </c>
    </row>
    <row r="141" spans="1:11">
      <c r="A141" t="s">
        <v>477</v>
      </c>
      <c r="B141" s="5">
        <v>46214</v>
      </c>
      <c r="C141" t="s">
        <v>451</v>
      </c>
      <c r="D141" t="s">
        <v>67</v>
      </c>
      <c r="E141" t="s">
        <v>28</v>
      </c>
      <c r="F141" t="s">
        <v>68</v>
      </c>
      <c r="G141" t="s">
        <v>362</v>
      </c>
      <c r="H141" t="s">
        <v>363</v>
      </c>
      <c r="I141" s="6">
        <v>7</v>
      </c>
      <c r="J141" t="s">
        <v>71</v>
      </c>
      <c r="K141" t="s">
        <v>478</v>
      </c>
    </row>
    <row r="142" spans="1:11">
      <c r="A142" t="s">
        <v>479</v>
      </c>
      <c r="B142" s="5">
        <v>46215</v>
      </c>
      <c r="C142" t="s">
        <v>451</v>
      </c>
      <c r="D142" t="s">
        <v>67</v>
      </c>
      <c r="E142" t="s">
        <v>28</v>
      </c>
      <c r="F142" t="s">
        <v>68</v>
      </c>
      <c r="G142" t="s">
        <v>362</v>
      </c>
      <c r="H142" t="s">
        <v>363</v>
      </c>
      <c r="I142" s="6">
        <v>6</v>
      </c>
      <c r="J142" t="s">
        <v>71</v>
      </c>
      <c r="K142" t="s">
        <v>480</v>
      </c>
    </row>
    <row r="143" spans="1:11">
      <c r="A143" t="s">
        <v>481</v>
      </c>
      <c r="B143" s="5">
        <v>46216</v>
      </c>
      <c r="C143" t="s">
        <v>451</v>
      </c>
      <c r="D143" t="s">
        <v>67</v>
      </c>
      <c r="E143" t="s">
        <v>28</v>
      </c>
      <c r="F143" t="s">
        <v>68</v>
      </c>
      <c r="G143" t="s">
        <v>368</v>
      </c>
      <c r="H143" t="s">
        <v>369</v>
      </c>
      <c r="I143" s="6">
        <v>6.75</v>
      </c>
      <c r="J143" t="s">
        <v>194</v>
      </c>
      <c r="K143" t="s">
        <v>482</v>
      </c>
    </row>
    <row r="144" spans="1:11">
      <c r="A144" t="s">
        <v>483</v>
      </c>
      <c r="B144" s="5">
        <v>46217</v>
      </c>
      <c r="C144" t="s">
        <v>451</v>
      </c>
      <c r="D144" t="s">
        <v>67</v>
      </c>
      <c r="E144" t="s">
        <v>28</v>
      </c>
      <c r="F144" t="s">
        <v>68</v>
      </c>
      <c r="G144" t="s">
        <v>452</v>
      </c>
      <c r="H144" t="s">
        <v>453</v>
      </c>
      <c r="I144" s="6">
        <v>5</v>
      </c>
      <c r="J144" t="s">
        <v>71</v>
      </c>
      <c r="K144" t="s">
        <v>484</v>
      </c>
    </row>
    <row r="145" spans="1:11">
      <c r="A145" t="s">
        <v>485</v>
      </c>
      <c r="B145" s="5">
        <v>46218</v>
      </c>
      <c r="C145" t="s">
        <v>451</v>
      </c>
      <c r="D145" t="s">
        <v>67</v>
      </c>
      <c r="E145" t="s">
        <v>28</v>
      </c>
      <c r="F145" t="s">
        <v>68</v>
      </c>
      <c r="G145" t="s">
        <v>452</v>
      </c>
      <c r="H145" t="s">
        <v>453</v>
      </c>
      <c r="I145" s="6">
        <v>8</v>
      </c>
      <c r="J145" t="s">
        <v>71</v>
      </c>
      <c r="K145" t="s">
        <v>486</v>
      </c>
    </row>
    <row r="146" spans="1:11">
      <c r="A146" t="s">
        <v>487</v>
      </c>
      <c r="B146" s="5">
        <v>46204</v>
      </c>
      <c r="C146" t="s">
        <v>488</v>
      </c>
      <c r="D146" t="s">
        <v>67</v>
      </c>
      <c r="E146" t="s">
        <v>17</v>
      </c>
      <c r="F146" t="s">
        <v>68</v>
      </c>
      <c r="G146" t="s">
        <v>489</v>
      </c>
      <c r="H146" t="s">
        <v>490</v>
      </c>
      <c r="I146" s="6">
        <v>7.5</v>
      </c>
      <c r="J146" t="s">
        <v>71</v>
      </c>
      <c r="K146" t="s">
        <v>491</v>
      </c>
    </row>
    <row r="147" spans="1:11">
      <c r="A147" t="s">
        <v>492</v>
      </c>
      <c r="B147" s="5">
        <v>46205</v>
      </c>
      <c r="C147" t="s">
        <v>488</v>
      </c>
      <c r="D147" t="s">
        <v>67</v>
      </c>
      <c r="E147" t="s">
        <v>17</v>
      </c>
      <c r="F147" t="s">
        <v>68</v>
      </c>
      <c r="G147" t="s">
        <v>489</v>
      </c>
      <c r="H147" t="s">
        <v>490</v>
      </c>
      <c r="I147" s="6">
        <v>7.5</v>
      </c>
      <c r="J147" t="s">
        <v>71</v>
      </c>
      <c r="K147" t="s">
        <v>491</v>
      </c>
    </row>
    <row r="148" spans="1:11">
      <c r="A148" t="s">
        <v>493</v>
      </c>
      <c r="B148" s="5">
        <v>46206</v>
      </c>
      <c r="C148" t="s">
        <v>488</v>
      </c>
      <c r="D148" t="s">
        <v>67</v>
      </c>
      <c r="E148" t="s">
        <v>17</v>
      </c>
      <c r="F148" t="s">
        <v>68</v>
      </c>
      <c r="G148" t="s">
        <v>489</v>
      </c>
      <c r="H148" t="s">
        <v>490</v>
      </c>
      <c r="I148" s="6">
        <v>7.5</v>
      </c>
      <c r="J148" t="s">
        <v>71</v>
      </c>
      <c r="K148" t="s">
        <v>491</v>
      </c>
    </row>
    <row r="149" spans="1:11">
      <c r="A149" t="s">
        <v>494</v>
      </c>
      <c r="B149" s="5">
        <v>46209</v>
      </c>
      <c r="C149" t="s">
        <v>488</v>
      </c>
      <c r="D149" t="s">
        <v>67</v>
      </c>
      <c r="E149" t="s">
        <v>17</v>
      </c>
      <c r="F149" t="s">
        <v>68</v>
      </c>
      <c r="G149" t="s">
        <v>489</v>
      </c>
      <c r="H149" t="s">
        <v>490</v>
      </c>
      <c r="I149" s="6">
        <v>7.5</v>
      </c>
      <c r="J149" t="s">
        <v>71</v>
      </c>
      <c r="K149" t="s">
        <v>491</v>
      </c>
    </row>
    <row r="150" spans="1:11">
      <c r="A150" t="s">
        <v>495</v>
      </c>
      <c r="B150" s="5">
        <v>46210</v>
      </c>
      <c r="C150" t="s">
        <v>488</v>
      </c>
      <c r="D150" t="s">
        <v>67</v>
      </c>
      <c r="E150" t="s">
        <v>17</v>
      </c>
      <c r="F150" t="s">
        <v>68</v>
      </c>
      <c r="G150" t="s">
        <v>489</v>
      </c>
      <c r="H150" t="s">
        <v>490</v>
      </c>
      <c r="I150" s="6">
        <v>7.5</v>
      </c>
      <c r="J150" t="s">
        <v>71</v>
      </c>
      <c r="K150" t="s">
        <v>491</v>
      </c>
    </row>
    <row r="151" spans="1:11">
      <c r="A151" t="s">
        <v>496</v>
      </c>
      <c r="B151" s="5">
        <v>46213</v>
      </c>
      <c r="C151" t="s">
        <v>488</v>
      </c>
      <c r="D151" t="s">
        <v>67</v>
      </c>
      <c r="E151" t="s">
        <v>17</v>
      </c>
      <c r="F151" t="s">
        <v>68</v>
      </c>
      <c r="G151" t="s">
        <v>489</v>
      </c>
      <c r="H151" t="s">
        <v>490</v>
      </c>
      <c r="I151" s="6">
        <v>7.5</v>
      </c>
      <c r="J151" t="s">
        <v>71</v>
      </c>
      <c r="K151" t="s">
        <v>491</v>
      </c>
    </row>
    <row r="152" spans="1:11">
      <c r="A152" t="s">
        <v>497</v>
      </c>
      <c r="B152" s="5">
        <v>46204</v>
      </c>
      <c r="C152" t="s">
        <v>498</v>
      </c>
      <c r="D152" t="s">
        <v>67</v>
      </c>
      <c r="E152" t="s">
        <v>9</v>
      </c>
      <c r="F152" t="s">
        <v>68</v>
      </c>
      <c r="G152" t="s">
        <v>275</v>
      </c>
      <c r="H152" t="s">
        <v>276</v>
      </c>
      <c r="I152" s="6">
        <v>9</v>
      </c>
      <c r="J152" t="s">
        <v>71</v>
      </c>
      <c r="K152" t="s">
        <v>499</v>
      </c>
    </row>
    <row r="153" spans="1:11">
      <c r="A153" t="s">
        <v>500</v>
      </c>
      <c r="B153" s="5">
        <v>46205</v>
      </c>
      <c r="C153" t="s">
        <v>498</v>
      </c>
      <c r="D153" t="s">
        <v>67</v>
      </c>
      <c r="E153" t="s">
        <v>9</v>
      </c>
      <c r="F153" t="s">
        <v>82</v>
      </c>
      <c r="G153" t="s">
        <v>275</v>
      </c>
      <c r="H153" t="s">
        <v>276</v>
      </c>
      <c r="I153" s="6">
        <v>9</v>
      </c>
      <c r="J153" t="s">
        <v>71</v>
      </c>
      <c r="K153" t="s">
        <v>501</v>
      </c>
    </row>
    <row r="154" spans="1:11">
      <c r="A154" t="s">
        <v>502</v>
      </c>
      <c r="B154" s="5">
        <v>46206</v>
      </c>
      <c r="C154" t="s">
        <v>498</v>
      </c>
      <c r="D154" t="s">
        <v>67</v>
      </c>
      <c r="E154" t="s">
        <v>503</v>
      </c>
      <c r="F154" t="s">
        <v>504</v>
      </c>
      <c r="G154" t="s">
        <v>505</v>
      </c>
      <c r="H154" t="s">
        <v>506</v>
      </c>
      <c r="I154" s="6">
        <v>9</v>
      </c>
      <c r="J154" t="s">
        <v>194</v>
      </c>
      <c r="K154" t="s">
        <v>507</v>
      </c>
    </row>
    <row r="155" spans="1:11">
      <c r="A155" t="s">
        <v>508</v>
      </c>
      <c r="B155" s="5">
        <v>46209</v>
      </c>
      <c r="C155" t="s">
        <v>498</v>
      </c>
      <c r="D155" t="s">
        <v>67</v>
      </c>
      <c r="E155" t="s">
        <v>9</v>
      </c>
      <c r="F155" t="s">
        <v>82</v>
      </c>
      <c r="G155" t="s">
        <v>509</v>
      </c>
      <c r="H155" t="s">
        <v>510</v>
      </c>
      <c r="I155" s="6">
        <v>9.25</v>
      </c>
      <c r="J155" t="s">
        <v>71</v>
      </c>
      <c r="K155" t="s">
        <v>511</v>
      </c>
    </row>
    <row r="156" spans="1:11">
      <c r="A156" t="s">
        <v>512</v>
      </c>
      <c r="B156" s="5">
        <v>46210</v>
      </c>
      <c r="C156" t="s">
        <v>498</v>
      </c>
      <c r="D156" t="s">
        <v>67</v>
      </c>
      <c r="E156" t="s">
        <v>9</v>
      </c>
      <c r="F156" t="s">
        <v>82</v>
      </c>
      <c r="G156" t="s">
        <v>509</v>
      </c>
      <c r="H156" t="s">
        <v>510</v>
      </c>
      <c r="I156" s="6">
        <v>9.5</v>
      </c>
      <c r="J156" t="s">
        <v>71</v>
      </c>
      <c r="K156" t="s">
        <v>513</v>
      </c>
    </row>
    <row r="157" spans="1:11">
      <c r="A157" t="s">
        <v>514</v>
      </c>
      <c r="B157" s="5">
        <v>46216</v>
      </c>
      <c r="C157" t="s">
        <v>498</v>
      </c>
      <c r="D157" t="s">
        <v>67</v>
      </c>
      <c r="E157" t="s">
        <v>9</v>
      </c>
      <c r="F157" t="s">
        <v>82</v>
      </c>
      <c r="G157" t="s">
        <v>509</v>
      </c>
      <c r="H157" t="s">
        <v>510</v>
      </c>
      <c r="I157" s="6">
        <v>6.5</v>
      </c>
      <c r="J157" t="s">
        <v>71</v>
      </c>
      <c r="K157" t="s">
        <v>515</v>
      </c>
    </row>
    <row r="158" spans="1:11">
      <c r="A158" t="s">
        <v>516</v>
      </c>
      <c r="B158" s="5">
        <v>46217</v>
      </c>
      <c r="C158" t="s">
        <v>498</v>
      </c>
      <c r="D158" t="s">
        <v>67</v>
      </c>
      <c r="E158" t="s">
        <v>9</v>
      </c>
      <c r="F158" t="s">
        <v>82</v>
      </c>
      <c r="G158" t="s">
        <v>509</v>
      </c>
      <c r="H158" t="s">
        <v>510</v>
      </c>
      <c r="I158" s="6">
        <v>7</v>
      </c>
      <c r="J158" t="s">
        <v>71</v>
      </c>
      <c r="K158" t="s">
        <v>517</v>
      </c>
    </row>
    <row r="159" spans="1:11">
      <c r="A159" t="s">
        <v>518</v>
      </c>
      <c r="B159" s="5">
        <v>46218</v>
      </c>
      <c r="C159" t="s">
        <v>498</v>
      </c>
      <c r="D159" t="s">
        <v>67</v>
      </c>
      <c r="E159" t="s">
        <v>9</v>
      </c>
      <c r="F159" t="s">
        <v>82</v>
      </c>
      <c r="G159" t="s">
        <v>509</v>
      </c>
      <c r="H159" t="s">
        <v>510</v>
      </c>
      <c r="I159" s="6">
        <v>6.5</v>
      </c>
      <c r="J159" t="s">
        <v>71</v>
      </c>
      <c r="K159" t="s">
        <v>515</v>
      </c>
    </row>
    <row r="160" spans="1:11">
      <c r="A160" t="s">
        <v>519</v>
      </c>
      <c r="B160" s="5">
        <v>46204</v>
      </c>
      <c r="C160" t="s">
        <v>520</v>
      </c>
      <c r="D160" t="s">
        <v>67</v>
      </c>
      <c r="E160" t="s">
        <v>40</v>
      </c>
      <c r="F160" t="s">
        <v>68</v>
      </c>
      <c r="G160" t="s">
        <v>521</v>
      </c>
      <c r="H160" t="s">
        <v>522</v>
      </c>
      <c r="I160" s="6">
        <v>9</v>
      </c>
      <c r="J160" t="s">
        <v>71</v>
      </c>
      <c r="K160" t="s">
        <v>523</v>
      </c>
    </row>
    <row r="161" spans="1:11">
      <c r="A161" t="s">
        <v>524</v>
      </c>
      <c r="B161" s="5">
        <v>46205</v>
      </c>
      <c r="C161" t="s">
        <v>520</v>
      </c>
      <c r="D161" t="s">
        <v>67</v>
      </c>
      <c r="E161" t="s">
        <v>40</v>
      </c>
      <c r="F161" t="s">
        <v>68</v>
      </c>
      <c r="G161" t="s">
        <v>417</v>
      </c>
      <c r="H161" t="s">
        <v>418</v>
      </c>
      <c r="I161" s="6">
        <v>12.5</v>
      </c>
      <c r="J161" t="s">
        <v>71</v>
      </c>
      <c r="K161" t="s">
        <v>525</v>
      </c>
    </row>
    <row r="162" spans="1:11">
      <c r="A162" t="s">
        <v>526</v>
      </c>
      <c r="B162" s="5">
        <v>46206</v>
      </c>
      <c r="C162" t="s">
        <v>520</v>
      </c>
      <c r="D162" t="s">
        <v>67</v>
      </c>
      <c r="E162" t="s">
        <v>40</v>
      </c>
      <c r="F162" t="s">
        <v>82</v>
      </c>
      <c r="G162" t="s">
        <v>527</v>
      </c>
      <c r="H162" t="s">
        <v>528</v>
      </c>
      <c r="I162" s="6">
        <v>11.5</v>
      </c>
      <c r="J162" t="s">
        <v>71</v>
      </c>
      <c r="K162" t="s">
        <v>529</v>
      </c>
    </row>
    <row r="163" spans="1:11">
      <c r="A163" t="s">
        <v>530</v>
      </c>
      <c r="B163" s="5">
        <v>46207</v>
      </c>
      <c r="C163" t="s">
        <v>520</v>
      </c>
      <c r="D163" t="s">
        <v>67</v>
      </c>
      <c r="E163" t="s">
        <v>40</v>
      </c>
      <c r="F163" t="s">
        <v>68</v>
      </c>
      <c r="G163" t="s">
        <v>74</v>
      </c>
      <c r="H163" t="s">
        <v>75</v>
      </c>
      <c r="I163" s="6">
        <v>17.5</v>
      </c>
      <c r="J163" t="s">
        <v>71</v>
      </c>
      <c r="K163" t="s">
        <v>531</v>
      </c>
    </row>
    <row r="164" spans="1:11">
      <c r="A164" t="s">
        <v>532</v>
      </c>
      <c r="B164" s="5">
        <v>46208</v>
      </c>
      <c r="C164" t="s">
        <v>520</v>
      </c>
      <c r="D164" t="s">
        <v>67</v>
      </c>
      <c r="E164" t="s">
        <v>40</v>
      </c>
      <c r="F164" t="s">
        <v>68</v>
      </c>
      <c r="G164" t="s">
        <v>74</v>
      </c>
      <c r="H164" t="s">
        <v>75</v>
      </c>
      <c r="I164" s="6">
        <v>17</v>
      </c>
      <c r="J164" t="s">
        <v>71</v>
      </c>
      <c r="K164" t="s">
        <v>78</v>
      </c>
    </row>
    <row r="165" spans="1:11">
      <c r="A165" t="s">
        <v>533</v>
      </c>
      <c r="B165" s="5">
        <v>46209</v>
      </c>
      <c r="C165" t="s">
        <v>520</v>
      </c>
      <c r="D165" t="s">
        <v>67</v>
      </c>
      <c r="E165" t="s">
        <v>40</v>
      </c>
      <c r="F165" t="s">
        <v>68</v>
      </c>
      <c r="G165" t="s">
        <v>527</v>
      </c>
      <c r="H165" t="s">
        <v>528</v>
      </c>
      <c r="I165" s="6">
        <v>11.5</v>
      </c>
      <c r="J165" t="s">
        <v>71</v>
      </c>
      <c r="K165" t="s">
        <v>534</v>
      </c>
    </row>
    <row r="166" spans="1:11">
      <c r="A166" t="s">
        <v>535</v>
      </c>
      <c r="B166" s="5">
        <v>46210</v>
      </c>
      <c r="C166" t="s">
        <v>520</v>
      </c>
      <c r="D166" t="s">
        <v>67</v>
      </c>
      <c r="E166" t="s">
        <v>40</v>
      </c>
      <c r="F166" t="s">
        <v>68</v>
      </c>
      <c r="G166" t="s">
        <v>527</v>
      </c>
      <c r="H166" t="s">
        <v>528</v>
      </c>
      <c r="I166" s="6">
        <v>11.5</v>
      </c>
      <c r="J166" t="s">
        <v>71</v>
      </c>
      <c r="K166" t="s">
        <v>534</v>
      </c>
    </row>
    <row r="167" spans="1:11">
      <c r="A167" t="s">
        <v>536</v>
      </c>
      <c r="B167" s="5">
        <v>46211</v>
      </c>
      <c r="C167" t="s">
        <v>520</v>
      </c>
      <c r="D167" t="s">
        <v>67</v>
      </c>
      <c r="E167" t="s">
        <v>40</v>
      </c>
      <c r="F167" t="s">
        <v>68</v>
      </c>
      <c r="G167" t="s">
        <v>527</v>
      </c>
      <c r="H167" t="s">
        <v>528</v>
      </c>
      <c r="I167" s="6">
        <v>11.5</v>
      </c>
      <c r="J167" t="s">
        <v>71</v>
      </c>
      <c r="K167" t="s">
        <v>534</v>
      </c>
    </row>
    <row r="168" spans="1:11">
      <c r="A168" t="s">
        <v>537</v>
      </c>
      <c r="B168" s="5">
        <v>46212</v>
      </c>
      <c r="C168" t="s">
        <v>520</v>
      </c>
      <c r="D168" t="s">
        <v>67</v>
      </c>
      <c r="E168" t="s">
        <v>40</v>
      </c>
      <c r="F168" t="s">
        <v>68</v>
      </c>
      <c r="G168" t="s">
        <v>538</v>
      </c>
      <c r="H168" t="s">
        <v>418</v>
      </c>
      <c r="I168" s="6">
        <v>11.5</v>
      </c>
      <c r="J168" t="s">
        <v>71</v>
      </c>
      <c r="K168" t="s">
        <v>539</v>
      </c>
    </row>
    <row r="169" spans="1:11">
      <c r="A169" t="s">
        <v>540</v>
      </c>
      <c r="B169" s="5">
        <v>46213</v>
      </c>
      <c r="C169" t="s">
        <v>520</v>
      </c>
      <c r="D169" t="s">
        <v>67</v>
      </c>
      <c r="E169" t="s">
        <v>40</v>
      </c>
      <c r="F169" t="s">
        <v>68</v>
      </c>
      <c r="G169" t="s">
        <v>541</v>
      </c>
      <c r="H169" t="s">
        <v>528</v>
      </c>
      <c r="I169" s="6">
        <v>11.5</v>
      </c>
      <c r="J169" t="s">
        <v>71</v>
      </c>
      <c r="K169" t="s">
        <v>542</v>
      </c>
    </row>
    <row r="170" spans="1:11">
      <c r="A170" t="s">
        <v>543</v>
      </c>
      <c r="B170" s="5">
        <v>46214</v>
      </c>
      <c r="C170" t="s">
        <v>520</v>
      </c>
      <c r="D170" t="s">
        <v>67</v>
      </c>
      <c r="E170" t="s">
        <v>40</v>
      </c>
      <c r="F170" t="s">
        <v>68</v>
      </c>
      <c r="G170" t="s">
        <v>544</v>
      </c>
      <c r="H170" t="s">
        <v>118</v>
      </c>
      <c r="I170" s="6">
        <v>10.5</v>
      </c>
      <c r="J170" t="s">
        <v>71</v>
      </c>
      <c r="K170" t="s">
        <v>545</v>
      </c>
    </row>
    <row r="171" spans="1:11">
      <c r="A171" t="s">
        <v>546</v>
      </c>
      <c r="B171" s="5">
        <v>46215</v>
      </c>
      <c r="C171" t="s">
        <v>520</v>
      </c>
      <c r="D171" t="s">
        <v>67</v>
      </c>
      <c r="E171" t="s">
        <v>40</v>
      </c>
      <c r="F171" t="s">
        <v>68</v>
      </c>
      <c r="G171" t="s">
        <v>544</v>
      </c>
      <c r="H171" t="s">
        <v>118</v>
      </c>
      <c r="I171" s="6">
        <v>5.5</v>
      </c>
      <c r="J171" t="s">
        <v>71</v>
      </c>
      <c r="K171" t="s">
        <v>547</v>
      </c>
    </row>
    <row r="172" spans="1:11">
      <c r="A172" t="s">
        <v>548</v>
      </c>
      <c r="B172" s="5">
        <v>46216</v>
      </c>
      <c r="C172" t="s">
        <v>520</v>
      </c>
      <c r="D172" t="s">
        <v>67</v>
      </c>
      <c r="E172" t="s">
        <v>40</v>
      </c>
      <c r="F172" t="s">
        <v>68</v>
      </c>
      <c r="G172" t="s">
        <v>549</v>
      </c>
      <c r="H172" t="s">
        <v>550</v>
      </c>
      <c r="I172" s="6">
        <v>15</v>
      </c>
      <c r="J172" t="s">
        <v>71</v>
      </c>
      <c r="K172" t="s">
        <v>551</v>
      </c>
    </row>
    <row r="173" spans="1:11">
      <c r="A173" t="s">
        <v>552</v>
      </c>
      <c r="B173" s="5">
        <v>46217</v>
      </c>
      <c r="C173" t="s">
        <v>520</v>
      </c>
      <c r="D173" t="s">
        <v>67</v>
      </c>
      <c r="E173" t="s">
        <v>40</v>
      </c>
      <c r="F173" t="s">
        <v>68</v>
      </c>
      <c r="G173" t="s">
        <v>549</v>
      </c>
      <c r="H173" t="s">
        <v>550</v>
      </c>
      <c r="I173" s="6">
        <v>16.5</v>
      </c>
      <c r="J173" t="s">
        <v>71</v>
      </c>
      <c r="K173" t="s">
        <v>553</v>
      </c>
    </row>
    <row r="174" spans="1:11">
      <c r="A174" t="s">
        <v>554</v>
      </c>
      <c r="B174" s="5">
        <v>46218</v>
      </c>
      <c r="C174" t="s">
        <v>520</v>
      </c>
      <c r="D174" t="s">
        <v>67</v>
      </c>
      <c r="E174" t="s">
        <v>40</v>
      </c>
      <c r="F174" t="s">
        <v>68</v>
      </c>
      <c r="G174" t="s">
        <v>549</v>
      </c>
      <c r="H174" t="s">
        <v>550</v>
      </c>
      <c r="I174" s="6">
        <v>9.5</v>
      </c>
      <c r="J174" t="s">
        <v>71</v>
      </c>
      <c r="K174" t="s">
        <v>555</v>
      </c>
    </row>
    <row r="175" spans="1:11">
      <c r="A175" t="s">
        <v>556</v>
      </c>
      <c r="B175" s="5">
        <v>46204</v>
      </c>
      <c r="C175" t="s">
        <v>557</v>
      </c>
      <c r="D175" t="s">
        <v>67</v>
      </c>
      <c r="E175" t="s">
        <v>40</v>
      </c>
      <c r="F175" t="s">
        <v>82</v>
      </c>
      <c r="G175" t="s">
        <v>558</v>
      </c>
      <c r="H175" t="s">
        <v>559</v>
      </c>
      <c r="I175" s="6">
        <v>5</v>
      </c>
      <c r="J175" t="s">
        <v>95</v>
      </c>
      <c r="K175" t="s">
        <v>560</v>
      </c>
    </row>
    <row r="176" spans="1:11">
      <c r="A176" t="s">
        <v>561</v>
      </c>
      <c r="B176" s="5">
        <v>46204</v>
      </c>
      <c r="C176" t="s">
        <v>562</v>
      </c>
      <c r="D176" t="s">
        <v>67</v>
      </c>
      <c r="E176" t="s">
        <v>40</v>
      </c>
      <c r="F176" t="s">
        <v>82</v>
      </c>
      <c r="G176" t="s">
        <v>527</v>
      </c>
      <c r="H176" t="s">
        <v>528</v>
      </c>
      <c r="I176" s="6">
        <v>11.5</v>
      </c>
      <c r="J176" t="s">
        <v>71</v>
      </c>
      <c r="K176" t="s">
        <v>529</v>
      </c>
    </row>
    <row r="177" spans="1:11">
      <c r="A177" t="s">
        <v>563</v>
      </c>
      <c r="B177" s="5">
        <v>46205</v>
      </c>
      <c r="C177" t="s">
        <v>562</v>
      </c>
      <c r="D177" t="s">
        <v>67</v>
      </c>
      <c r="E177" t="s">
        <v>40</v>
      </c>
      <c r="F177" t="s">
        <v>82</v>
      </c>
      <c r="G177" t="s">
        <v>527</v>
      </c>
      <c r="H177" t="s">
        <v>528</v>
      </c>
      <c r="I177" s="6">
        <v>11.5</v>
      </c>
      <c r="J177" t="s">
        <v>71</v>
      </c>
      <c r="K177" t="s">
        <v>529</v>
      </c>
    </row>
    <row r="178" spans="1:11">
      <c r="A178" t="s">
        <v>564</v>
      </c>
      <c r="B178" s="5">
        <v>46206</v>
      </c>
      <c r="C178" t="s">
        <v>562</v>
      </c>
      <c r="D178" t="s">
        <v>67</v>
      </c>
      <c r="E178" t="s">
        <v>40</v>
      </c>
      <c r="F178" t="s">
        <v>82</v>
      </c>
      <c r="G178" t="s">
        <v>565</v>
      </c>
      <c r="H178" t="s">
        <v>302</v>
      </c>
      <c r="I178" s="6">
        <v>11.5</v>
      </c>
      <c r="J178" t="s">
        <v>71</v>
      </c>
      <c r="K178" t="s">
        <v>566</v>
      </c>
    </row>
    <row r="179" spans="1:11">
      <c r="A179" t="s">
        <v>567</v>
      </c>
      <c r="B179" s="5">
        <v>46207</v>
      </c>
      <c r="C179" t="s">
        <v>562</v>
      </c>
      <c r="D179" t="s">
        <v>67</v>
      </c>
      <c r="E179" t="s">
        <v>40</v>
      </c>
      <c r="F179" t="s">
        <v>82</v>
      </c>
      <c r="G179" t="s">
        <v>565</v>
      </c>
      <c r="H179" t="s">
        <v>302</v>
      </c>
      <c r="I179" s="6">
        <v>8.5</v>
      </c>
      <c r="J179" t="s">
        <v>71</v>
      </c>
      <c r="K179" t="s">
        <v>568</v>
      </c>
    </row>
    <row r="180" spans="1:11">
      <c r="A180" t="s">
        <v>569</v>
      </c>
      <c r="B180" s="5">
        <v>46210</v>
      </c>
      <c r="C180" t="s">
        <v>562</v>
      </c>
      <c r="D180" t="s">
        <v>67</v>
      </c>
      <c r="E180" t="s">
        <v>40</v>
      </c>
      <c r="F180" t="s">
        <v>82</v>
      </c>
      <c r="G180" t="s">
        <v>527</v>
      </c>
      <c r="H180" t="s">
        <v>528</v>
      </c>
      <c r="I180" s="6">
        <v>11.5</v>
      </c>
      <c r="J180" t="s">
        <v>71</v>
      </c>
      <c r="K180" t="s">
        <v>529</v>
      </c>
    </row>
    <row r="181" spans="1:11">
      <c r="A181" t="s">
        <v>570</v>
      </c>
      <c r="B181" s="5">
        <v>46211</v>
      </c>
      <c r="C181" t="s">
        <v>562</v>
      </c>
      <c r="D181" t="s">
        <v>67</v>
      </c>
      <c r="E181" t="s">
        <v>40</v>
      </c>
      <c r="F181" t="s">
        <v>82</v>
      </c>
      <c r="G181" t="s">
        <v>527</v>
      </c>
      <c r="H181" t="s">
        <v>528</v>
      </c>
      <c r="I181" s="6">
        <v>11.5</v>
      </c>
      <c r="J181" t="s">
        <v>71</v>
      </c>
      <c r="K181" t="s">
        <v>529</v>
      </c>
    </row>
    <row r="182" spans="1:11">
      <c r="A182" t="s">
        <v>571</v>
      </c>
      <c r="B182" s="5">
        <v>46212</v>
      </c>
      <c r="C182" t="s">
        <v>562</v>
      </c>
      <c r="D182" t="s">
        <v>67</v>
      </c>
      <c r="E182" t="s">
        <v>40</v>
      </c>
      <c r="F182" t="s">
        <v>82</v>
      </c>
      <c r="G182" t="s">
        <v>527</v>
      </c>
      <c r="H182" t="s">
        <v>528</v>
      </c>
      <c r="I182" s="6">
        <v>11.5</v>
      </c>
      <c r="J182" t="s">
        <v>71</v>
      </c>
      <c r="K182" t="s">
        <v>529</v>
      </c>
    </row>
    <row r="183" spans="1:11">
      <c r="A183" t="s">
        <v>572</v>
      </c>
      <c r="B183" s="5">
        <v>46213</v>
      </c>
      <c r="C183" t="s">
        <v>562</v>
      </c>
      <c r="D183" t="s">
        <v>67</v>
      </c>
      <c r="E183" t="s">
        <v>40</v>
      </c>
      <c r="F183" t="s">
        <v>82</v>
      </c>
      <c r="G183" t="s">
        <v>527</v>
      </c>
      <c r="H183" t="s">
        <v>528</v>
      </c>
      <c r="I183" s="6">
        <v>11.5</v>
      </c>
      <c r="J183" t="s">
        <v>71</v>
      </c>
      <c r="K183" t="s">
        <v>529</v>
      </c>
    </row>
    <row r="184" spans="1:11">
      <c r="A184" t="s">
        <v>573</v>
      </c>
      <c r="B184" s="5">
        <v>46216</v>
      </c>
      <c r="C184" t="s">
        <v>562</v>
      </c>
      <c r="D184" t="s">
        <v>67</v>
      </c>
      <c r="E184" t="s">
        <v>40</v>
      </c>
      <c r="F184" t="s">
        <v>82</v>
      </c>
      <c r="G184" t="s">
        <v>574</v>
      </c>
      <c r="H184" t="s">
        <v>302</v>
      </c>
      <c r="I184" s="6">
        <v>11.5</v>
      </c>
      <c r="J184" t="s">
        <v>71</v>
      </c>
      <c r="K184" t="s">
        <v>575</v>
      </c>
    </row>
    <row r="185" spans="1:11">
      <c r="A185" t="s">
        <v>576</v>
      </c>
      <c r="B185" s="5">
        <v>46217</v>
      </c>
      <c r="C185" t="s">
        <v>562</v>
      </c>
      <c r="D185" t="s">
        <v>67</v>
      </c>
      <c r="E185" t="s">
        <v>40</v>
      </c>
      <c r="F185" t="s">
        <v>82</v>
      </c>
      <c r="G185" t="s">
        <v>527</v>
      </c>
      <c r="H185" t="s">
        <v>528</v>
      </c>
      <c r="I185" s="6">
        <v>11.5</v>
      </c>
      <c r="J185" t="s">
        <v>71</v>
      </c>
      <c r="K185" t="s">
        <v>529</v>
      </c>
    </row>
    <row r="186" spans="1:11">
      <c r="A186" t="s">
        <v>577</v>
      </c>
      <c r="B186" s="5">
        <v>46218</v>
      </c>
      <c r="C186" t="s">
        <v>562</v>
      </c>
      <c r="D186" t="s">
        <v>67</v>
      </c>
      <c r="E186" t="s">
        <v>40</v>
      </c>
      <c r="F186" t="s">
        <v>82</v>
      </c>
      <c r="G186" t="s">
        <v>527</v>
      </c>
      <c r="H186" t="s">
        <v>528</v>
      </c>
      <c r="I186" s="6">
        <v>11.5</v>
      </c>
      <c r="J186" t="s">
        <v>71</v>
      </c>
      <c r="K186" t="s">
        <v>529</v>
      </c>
    </row>
    <row r="187" spans="1:11">
      <c r="A187" t="s">
        <v>578</v>
      </c>
      <c r="B187" s="5">
        <v>46204</v>
      </c>
      <c r="C187" t="s">
        <v>579</v>
      </c>
      <c r="D187" t="s">
        <v>67</v>
      </c>
      <c r="E187" t="s">
        <v>40</v>
      </c>
      <c r="F187" t="s">
        <v>68</v>
      </c>
      <c r="G187" t="s">
        <v>316</v>
      </c>
      <c r="H187" t="s">
        <v>317</v>
      </c>
      <c r="I187" s="6">
        <v>6.5</v>
      </c>
      <c r="J187" t="s">
        <v>71</v>
      </c>
      <c r="K187" t="s">
        <v>580</v>
      </c>
    </row>
    <row r="188" spans="1:11">
      <c r="A188" t="s">
        <v>581</v>
      </c>
      <c r="B188" s="5">
        <v>46205</v>
      </c>
      <c r="C188" t="s">
        <v>579</v>
      </c>
      <c r="D188" t="s">
        <v>67</v>
      </c>
      <c r="E188" t="s">
        <v>40</v>
      </c>
      <c r="F188" t="s">
        <v>82</v>
      </c>
      <c r="G188" t="s">
        <v>582</v>
      </c>
      <c r="H188" t="s">
        <v>583</v>
      </c>
      <c r="I188" s="6">
        <v>8</v>
      </c>
      <c r="J188" t="s">
        <v>71</v>
      </c>
      <c r="K188" t="s">
        <v>584</v>
      </c>
    </row>
    <row r="189" spans="1:11">
      <c r="A189" t="s">
        <v>585</v>
      </c>
      <c r="B189" s="5">
        <v>46206</v>
      </c>
      <c r="C189" t="s">
        <v>579</v>
      </c>
      <c r="D189" t="s">
        <v>67</v>
      </c>
      <c r="E189" t="s">
        <v>40</v>
      </c>
      <c r="F189" t="s">
        <v>82</v>
      </c>
      <c r="G189" t="s">
        <v>324</v>
      </c>
      <c r="H189" t="s">
        <v>325</v>
      </c>
      <c r="I189" s="6">
        <v>7</v>
      </c>
      <c r="J189" t="s">
        <v>71</v>
      </c>
      <c r="K189" t="s">
        <v>326</v>
      </c>
    </row>
    <row r="190" spans="1:11">
      <c r="A190" t="s">
        <v>586</v>
      </c>
      <c r="B190" s="5">
        <v>46209</v>
      </c>
      <c r="C190" t="s">
        <v>579</v>
      </c>
      <c r="D190" t="s">
        <v>67</v>
      </c>
      <c r="E190" t="s">
        <v>40</v>
      </c>
      <c r="F190" t="s">
        <v>82</v>
      </c>
      <c r="G190" t="s">
        <v>328</v>
      </c>
      <c r="H190" t="s">
        <v>329</v>
      </c>
      <c r="I190" s="6">
        <v>8.5</v>
      </c>
      <c r="J190" t="s">
        <v>71</v>
      </c>
      <c r="K190" t="s">
        <v>330</v>
      </c>
    </row>
    <row r="191" spans="1:11">
      <c r="A191" t="s">
        <v>587</v>
      </c>
      <c r="B191" s="5">
        <v>46210</v>
      </c>
      <c r="C191" t="s">
        <v>579</v>
      </c>
      <c r="D191" t="s">
        <v>67</v>
      </c>
      <c r="E191" t="s">
        <v>40</v>
      </c>
      <c r="F191" t="s">
        <v>82</v>
      </c>
      <c r="G191" t="s">
        <v>328</v>
      </c>
      <c r="H191" t="s">
        <v>329</v>
      </c>
      <c r="I191" s="6">
        <v>8.5</v>
      </c>
      <c r="J191" t="s">
        <v>71</v>
      </c>
      <c r="K191" t="s">
        <v>330</v>
      </c>
    </row>
    <row r="192" spans="1:11">
      <c r="A192" t="s">
        <v>588</v>
      </c>
      <c r="B192" s="5">
        <v>46211</v>
      </c>
      <c r="C192" t="s">
        <v>579</v>
      </c>
      <c r="D192" t="s">
        <v>67</v>
      </c>
      <c r="E192" t="s">
        <v>40</v>
      </c>
      <c r="F192" t="s">
        <v>82</v>
      </c>
      <c r="G192" t="s">
        <v>328</v>
      </c>
      <c r="H192" t="s">
        <v>329</v>
      </c>
      <c r="I192" s="6">
        <v>8.5</v>
      </c>
      <c r="J192" t="s">
        <v>71</v>
      </c>
      <c r="K192" t="s">
        <v>330</v>
      </c>
    </row>
    <row r="193" spans="1:11">
      <c r="A193" t="s">
        <v>589</v>
      </c>
      <c r="B193" s="5">
        <v>46212</v>
      </c>
      <c r="C193" t="s">
        <v>579</v>
      </c>
      <c r="D193" t="s">
        <v>67</v>
      </c>
      <c r="E193" t="s">
        <v>40</v>
      </c>
      <c r="F193" t="s">
        <v>82</v>
      </c>
      <c r="G193" t="s">
        <v>328</v>
      </c>
      <c r="H193" t="s">
        <v>329</v>
      </c>
      <c r="I193" s="6">
        <v>8</v>
      </c>
      <c r="J193" t="s">
        <v>71</v>
      </c>
      <c r="K193" t="s">
        <v>333</v>
      </c>
    </row>
    <row r="194" spans="1:11">
      <c r="A194" t="s">
        <v>590</v>
      </c>
      <c r="B194" s="5">
        <v>46213</v>
      </c>
      <c r="C194" t="s">
        <v>579</v>
      </c>
      <c r="D194" t="s">
        <v>67</v>
      </c>
      <c r="E194" t="s">
        <v>40</v>
      </c>
      <c r="F194" t="s">
        <v>68</v>
      </c>
      <c r="G194" t="s">
        <v>335</v>
      </c>
      <c r="H194" t="s">
        <v>336</v>
      </c>
      <c r="I194" s="6">
        <v>8</v>
      </c>
      <c r="J194" t="s">
        <v>71</v>
      </c>
      <c r="K194" t="s">
        <v>591</v>
      </c>
    </row>
    <row r="195" spans="1:11">
      <c r="A195" t="s">
        <v>592</v>
      </c>
      <c r="B195" s="5">
        <v>46214</v>
      </c>
      <c r="C195" t="s">
        <v>579</v>
      </c>
      <c r="D195" t="s">
        <v>67</v>
      </c>
      <c r="E195" t="s">
        <v>40</v>
      </c>
      <c r="F195" t="s">
        <v>82</v>
      </c>
      <c r="G195" t="s">
        <v>593</v>
      </c>
      <c r="H195" t="s">
        <v>329</v>
      </c>
      <c r="I195" s="6">
        <v>6.5</v>
      </c>
      <c r="J195" t="s">
        <v>71</v>
      </c>
      <c r="K195" t="s">
        <v>594</v>
      </c>
    </row>
    <row r="196" spans="1:11">
      <c r="A196" t="s">
        <v>595</v>
      </c>
      <c r="B196" s="5">
        <v>46216</v>
      </c>
      <c r="C196" t="s">
        <v>579</v>
      </c>
      <c r="D196" t="s">
        <v>67</v>
      </c>
      <c r="E196" t="s">
        <v>40</v>
      </c>
      <c r="F196" t="s">
        <v>68</v>
      </c>
      <c r="G196" t="s">
        <v>102</v>
      </c>
      <c r="H196" t="s">
        <v>103</v>
      </c>
      <c r="I196" s="6">
        <v>8.5</v>
      </c>
      <c r="J196" t="s">
        <v>71</v>
      </c>
      <c r="K196" t="s">
        <v>104</v>
      </c>
    </row>
    <row r="197" spans="1:11">
      <c r="A197" t="s">
        <v>596</v>
      </c>
      <c r="B197" s="5">
        <v>46217</v>
      </c>
      <c r="C197" t="s">
        <v>579</v>
      </c>
      <c r="D197" t="s">
        <v>67</v>
      </c>
      <c r="E197" t="s">
        <v>40</v>
      </c>
      <c r="F197" t="s">
        <v>504</v>
      </c>
      <c r="G197" t="s">
        <v>549</v>
      </c>
      <c r="H197" t="s">
        <v>550</v>
      </c>
      <c r="I197" s="6">
        <v>16.5</v>
      </c>
      <c r="J197" t="s">
        <v>95</v>
      </c>
      <c r="K197" t="s">
        <v>597</v>
      </c>
    </row>
    <row r="198" spans="1:11">
      <c r="A198" t="s">
        <v>598</v>
      </c>
      <c r="B198" s="5">
        <v>46218</v>
      </c>
      <c r="C198" t="s">
        <v>579</v>
      </c>
      <c r="D198" t="s">
        <v>67</v>
      </c>
      <c r="E198" t="s">
        <v>40</v>
      </c>
      <c r="F198" t="s">
        <v>68</v>
      </c>
      <c r="G198" t="s">
        <v>549</v>
      </c>
      <c r="H198" t="s">
        <v>550</v>
      </c>
      <c r="I198" s="6">
        <v>9.5</v>
      </c>
      <c r="J198" t="s">
        <v>71</v>
      </c>
      <c r="K198" t="s">
        <v>555</v>
      </c>
    </row>
    <row r="199" spans="1:11">
      <c r="A199" t="s">
        <v>599</v>
      </c>
      <c r="B199" s="5">
        <v>46204</v>
      </c>
      <c r="C199" t="s">
        <v>600</v>
      </c>
      <c r="D199" t="s">
        <v>67</v>
      </c>
      <c r="E199" t="s">
        <v>40</v>
      </c>
      <c r="F199" t="s">
        <v>82</v>
      </c>
      <c r="G199" t="s">
        <v>601</v>
      </c>
      <c r="H199" t="s">
        <v>146</v>
      </c>
      <c r="I199" s="6">
        <v>8.5</v>
      </c>
      <c r="J199" t="s">
        <v>71</v>
      </c>
      <c r="K199" t="s">
        <v>602</v>
      </c>
    </row>
    <row r="200" spans="1:11">
      <c r="A200" t="s">
        <v>603</v>
      </c>
      <c r="B200" s="5">
        <v>46205</v>
      </c>
      <c r="C200" t="s">
        <v>600</v>
      </c>
      <c r="D200" t="s">
        <v>67</v>
      </c>
      <c r="E200" t="s">
        <v>40</v>
      </c>
      <c r="F200" t="s">
        <v>82</v>
      </c>
      <c r="G200" t="s">
        <v>601</v>
      </c>
      <c r="H200" t="s">
        <v>146</v>
      </c>
      <c r="I200" s="6">
        <v>8.5</v>
      </c>
      <c r="J200" t="s">
        <v>71</v>
      </c>
      <c r="K200" t="s">
        <v>602</v>
      </c>
    </row>
    <row r="201" spans="1:11">
      <c r="A201" t="s">
        <v>604</v>
      </c>
      <c r="B201" s="5">
        <v>46206</v>
      </c>
      <c r="C201" t="s">
        <v>600</v>
      </c>
      <c r="D201" t="s">
        <v>67</v>
      </c>
      <c r="E201" t="s">
        <v>40</v>
      </c>
      <c r="F201" t="s">
        <v>82</v>
      </c>
      <c r="G201" t="s">
        <v>601</v>
      </c>
      <c r="H201" t="s">
        <v>146</v>
      </c>
      <c r="I201" s="6">
        <v>8.5</v>
      </c>
      <c r="J201" t="s">
        <v>71</v>
      </c>
      <c r="K201" t="s">
        <v>602</v>
      </c>
    </row>
    <row r="202" spans="1:11">
      <c r="A202" t="s">
        <v>605</v>
      </c>
      <c r="B202" s="5">
        <v>46209</v>
      </c>
      <c r="C202" t="s">
        <v>600</v>
      </c>
      <c r="D202" t="s">
        <v>67</v>
      </c>
      <c r="E202" t="s">
        <v>40</v>
      </c>
      <c r="F202" t="s">
        <v>82</v>
      </c>
      <c r="G202" t="s">
        <v>606</v>
      </c>
      <c r="H202" t="s">
        <v>607</v>
      </c>
      <c r="I202" s="6">
        <v>9</v>
      </c>
      <c r="J202" t="s">
        <v>71</v>
      </c>
      <c r="K202" t="s">
        <v>608</v>
      </c>
    </row>
    <row r="203" spans="1:11">
      <c r="A203" t="s">
        <v>609</v>
      </c>
      <c r="B203" s="5">
        <v>46210</v>
      </c>
      <c r="C203" t="s">
        <v>600</v>
      </c>
      <c r="D203" t="s">
        <v>67</v>
      </c>
      <c r="E203" t="s">
        <v>40</v>
      </c>
      <c r="F203" t="s">
        <v>82</v>
      </c>
      <c r="G203" t="s">
        <v>610</v>
      </c>
      <c r="H203" t="s">
        <v>611</v>
      </c>
      <c r="I203" s="6">
        <v>7</v>
      </c>
      <c r="J203" t="s">
        <v>71</v>
      </c>
      <c r="K203" t="s">
        <v>612</v>
      </c>
    </row>
    <row r="204" spans="1:11">
      <c r="A204" t="s">
        <v>613</v>
      </c>
      <c r="B204" s="5">
        <v>46211</v>
      </c>
      <c r="C204" t="s">
        <v>600</v>
      </c>
      <c r="D204" t="s">
        <v>67</v>
      </c>
      <c r="E204" t="s">
        <v>40</v>
      </c>
      <c r="F204" t="s">
        <v>82</v>
      </c>
      <c r="G204" t="s">
        <v>601</v>
      </c>
      <c r="H204" t="s">
        <v>146</v>
      </c>
      <c r="I204" s="6">
        <v>8.5</v>
      </c>
      <c r="J204" t="s">
        <v>71</v>
      </c>
      <c r="K204" t="s">
        <v>602</v>
      </c>
    </row>
    <row r="205" spans="1:11">
      <c r="A205" t="s">
        <v>614</v>
      </c>
      <c r="B205" s="5">
        <v>46213</v>
      </c>
      <c r="C205" t="s">
        <v>600</v>
      </c>
      <c r="D205" t="s">
        <v>67</v>
      </c>
      <c r="E205" t="s">
        <v>40</v>
      </c>
      <c r="F205" t="s">
        <v>82</v>
      </c>
      <c r="G205" t="s">
        <v>615</v>
      </c>
      <c r="H205" t="s">
        <v>146</v>
      </c>
      <c r="I205" s="6">
        <v>15</v>
      </c>
      <c r="J205" t="s">
        <v>95</v>
      </c>
      <c r="K205" t="s">
        <v>616</v>
      </c>
    </row>
    <row r="206" spans="1:11">
      <c r="A206" t="s">
        <v>617</v>
      </c>
      <c r="B206" s="5">
        <v>46215</v>
      </c>
      <c r="C206" t="s">
        <v>600</v>
      </c>
      <c r="D206" t="s">
        <v>67</v>
      </c>
      <c r="E206" t="s">
        <v>40</v>
      </c>
      <c r="F206" t="s">
        <v>82</v>
      </c>
      <c r="G206" t="s">
        <v>618</v>
      </c>
      <c r="H206" t="s">
        <v>146</v>
      </c>
      <c r="I206" s="6">
        <v>8.5</v>
      </c>
      <c r="J206" t="s">
        <v>71</v>
      </c>
      <c r="K206" t="s">
        <v>619</v>
      </c>
    </row>
    <row r="207" spans="1:11">
      <c r="A207" t="s">
        <v>620</v>
      </c>
      <c r="B207" s="5">
        <v>46216</v>
      </c>
      <c r="C207" t="s">
        <v>600</v>
      </c>
      <c r="D207" t="s">
        <v>67</v>
      </c>
      <c r="E207" t="s">
        <v>40</v>
      </c>
      <c r="F207" t="s">
        <v>82</v>
      </c>
      <c r="G207" t="s">
        <v>618</v>
      </c>
      <c r="H207" t="s">
        <v>146</v>
      </c>
      <c r="I207" s="6">
        <v>10.5</v>
      </c>
      <c r="J207" t="s">
        <v>71</v>
      </c>
      <c r="K207" t="s">
        <v>621</v>
      </c>
    </row>
    <row r="208" spans="1:11">
      <c r="A208" t="s">
        <v>622</v>
      </c>
      <c r="B208" s="5">
        <v>46217</v>
      </c>
      <c r="C208" t="s">
        <v>600</v>
      </c>
      <c r="D208" t="s">
        <v>67</v>
      </c>
      <c r="E208" t="s">
        <v>40</v>
      </c>
      <c r="F208" t="s">
        <v>68</v>
      </c>
      <c r="G208" t="s">
        <v>102</v>
      </c>
      <c r="H208" t="s">
        <v>103</v>
      </c>
      <c r="I208" s="6">
        <v>8</v>
      </c>
      <c r="J208" t="s">
        <v>71</v>
      </c>
      <c r="K208" t="s">
        <v>108</v>
      </c>
    </row>
    <row r="209" spans="1:11">
      <c r="A209" t="s">
        <v>623</v>
      </c>
      <c r="B209" s="5">
        <v>46218</v>
      </c>
      <c r="C209" t="s">
        <v>600</v>
      </c>
      <c r="D209" t="s">
        <v>67</v>
      </c>
      <c r="E209" t="s">
        <v>40</v>
      </c>
      <c r="F209" t="s">
        <v>68</v>
      </c>
      <c r="G209" t="s">
        <v>601</v>
      </c>
      <c r="H209" t="s">
        <v>146</v>
      </c>
      <c r="I209" s="6">
        <v>8.5</v>
      </c>
      <c r="J209" t="s">
        <v>71</v>
      </c>
      <c r="K209" t="s">
        <v>624</v>
      </c>
    </row>
    <row r="210" spans="1:11">
      <c r="A210" t="s">
        <v>625</v>
      </c>
      <c r="B210" s="5">
        <v>46204</v>
      </c>
      <c r="C210" t="s">
        <v>626</v>
      </c>
      <c r="D210" t="s">
        <v>67</v>
      </c>
      <c r="E210" t="s">
        <v>24</v>
      </c>
      <c r="F210" t="s">
        <v>82</v>
      </c>
      <c r="G210" t="s">
        <v>627</v>
      </c>
      <c r="H210" t="s">
        <v>628</v>
      </c>
      <c r="I210" s="6">
        <v>8</v>
      </c>
      <c r="J210" t="s">
        <v>71</v>
      </c>
      <c r="K210" t="s">
        <v>629</v>
      </c>
    </row>
    <row r="211" spans="1:11">
      <c r="A211" t="s">
        <v>630</v>
      </c>
      <c r="B211" s="5">
        <v>46205</v>
      </c>
      <c r="C211" t="s">
        <v>626</v>
      </c>
      <c r="D211" t="s">
        <v>67</v>
      </c>
      <c r="E211" t="s">
        <v>24</v>
      </c>
      <c r="F211" t="s">
        <v>82</v>
      </c>
      <c r="G211" t="s">
        <v>627</v>
      </c>
      <c r="H211" t="s">
        <v>628</v>
      </c>
      <c r="I211" s="6">
        <v>8.5</v>
      </c>
      <c r="J211" t="s">
        <v>71</v>
      </c>
      <c r="K211" t="s">
        <v>631</v>
      </c>
    </row>
    <row r="212" spans="1:11">
      <c r="A212" t="s">
        <v>632</v>
      </c>
      <c r="B212" s="5">
        <v>46206</v>
      </c>
      <c r="C212" t="s">
        <v>626</v>
      </c>
      <c r="D212" t="s">
        <v>67</v>
      </c>
      <c r="E212" t="s">
        <v>24</v>
      </c>
      <c r="F212" t="s">
        <v>82</v>
      </c>
      <c r="G212" t="s">
        <v>633</v>
      </c>
      <c r="H212" t="s">
        <v>407</v>
      </c>
      <c r="I212" s="6">
        <v>6.5</v>
      </c>
      <c r="J212" t="s">
        <v>71</v>
      </c>
      <c r="K212" t="s">
        <v>634</v>
      </c>
    </row>
    <row r="213" spans="1:11">
      <c r="A213" t="s">
        <v>635</v>
      </c>
      <c r="B213" s="5">
        <v>46207</v>
      </c>
      <c r="C213" t="s">
        <v>626</v>
      </c>
      <c r="D213" t="s">
        <v>67</v>
      </c>
      <c r="E213" t="s">
        <v>24</v>
      </c>
      <c r="F213" t="s">
        <v>82</v>
      </c>
      <c r="G213" t="s">
        <v>378</v>
      </c>
      <c r="H213" t="s">
        <v>379</v>
      </c>
      <c r="I213" s="6">
        <v>10</v>
      </c>
      <c r="J213" t="s">
        <v>71</v>
      </c>
      <c r="K213" t="s">
        <v>636</v>
      </c>
    </row>
    <row r="214" spans="1:11">
      <c r="A214" t="s">
        <v>637</v>
      </c>
      <c r="B214" s="5">
        <v>46208</v>
      </c>
      <c r="C214" t="s">
        <v>626</v>
      </c>
      <c r="D214" t="s">
        <v>67</v>
      </c>
      <c r="E214" t="s">
        <v>24</v>
      </c>
      <c r="F214" t="s">
        <v>82</v>
      </c>
      <c r="G214" t="s">
        <v>378</v>
      </c>
      <c r="H214" t="s">
        <v>379</v>
      </c>
      <c r="I214" s="6">
        <v>10</v>
      </c>
      <c r="J214" t="s">
        <v>71</v>
      </c>
      <c r="K214" t="s">
        <v>636</v>
      </c>
    </row>
    <row r="215" spans="1:11">
      <c r="A215" t="s">
        <v>638</v>
      </c>
      <c r="B215" s="5">
        <v>46209</v>
      </c>
      <c r="C215" t="s">
        <v>626</v>
      </c>
      <c r="D215" t="s">
        <v>67</v>
      </c>
      <c r="E215" t="s">
        <v>24</v>
      </c>
      <c r="F215" t="s">
        <v>82</v>
      </c>
      <c r="G215" t="s">
        <v>627</v>
      </c>
      <c r="H215" t="s">
        <v>628</v>
      </c>
      <c r="I215" s="6">
        <v>5</v>
      </c>
      <c r="J215" t="s">
        <v>71</v>
      </c>
      <c r="K215" t="s">
        <v>639</v>
      </c>
    </row>
    <row r="216" spans="1:11">
      <c r="A216" t="s">
        <v>640</v>
      </c>
      <c r="B216" s="5">
        <v>46210</v>
      </c>
      <c r="C216" t="s">
        <v>626</v>
      </c>
      <c r="D216" t="s">
        <v>67</v>
      </c>
      <c r="E216" t="s">
        <v>24</v>
      </c>
      <c r="F216" t="s">
        <v>82</v>
      </c>
      <c r="G216" t="s">
        <v>627</v>
      </c>
      <c r="H216" t="s">
        <v>628</v>
      </c>
      <c r="I216" s="6">
        <v>8</v>
      </c>
      <c r="J216" t="s">
        <v>71</v>
      </c>
      <c r="K216" t="s">
        <v>629</v>
      </c>
    </row>
    <row r="217" spans="1:11">
      <c r="A217" t="s">
        <v>641</v>
      </c>
      <c r="B217" s="5">
        <v>46211</v>
      </c>
      <c r="C217" t="s">
        <v>626</v>
      </c>
      <c r="D217" t="s">
        <v>67</v>
      </c>
      <c r="E217" t="s">
        <v>24</v>
      </c>
      <c r="F217" t="s">
        <v>82</v>
      </c>
      <c r="G217" t="s">
        <v>392</v>
      </c>
      <c r="H217" t="s">
        <v>393</v>
      </c>
      <c r="I217" s="6">
        <v>8</v>
      </c>
      <c r="J217" t="s">
        <v>71</v>
      </c>
      <c r="K217" t="s">
        <v>642</v>
      </c>
    </row>
    <row r="218" spans="1:11">
      <c r="A218" t="s">
        <v>643</v>
      </c>
      <c r="B218" s="5">
        <v>46212</v>
      </c>
      <c r="C218" t="s">
        <v>626</v>
      </c>
      <c r="D218" t="s">
        <v>67</v>
      </c>
      <c r="E218" t="s">
        <v>24</v>
      </c>
      <c r="F218" t="s">
        <v>82</v>
      </c>
      <c r="G218" t="s">
        <v>392</v>
      </c>
      <c r="H218" t="s">
        <v>393</v>
      </c>
      <c r="I218" s="6">
        <v>6</v>
      </c>
      <c r="J218" t="s">
        <v>71</v>
      </c>
      <c r="K218" t="s">
        <v>644</v>
      </c>
    </row>
    <row r="219" spans="1:11">
      <c r="A219" t="s">
        <v>645</v>
      </c>
      <c r="B219" s="5">
        <v>46213</v>
      </c>
      <c r="C219" t="s">
        <v>626</v>
      </c>
      <c r="D219" t="s">
        <v>67</v>
      </c>
      <c r="E219" t="s">
        <v>24</v>
      </c>
      <c r="F219" t="s">
        <v>82</v>
      </c>
      <c r="G219" t="s">
        <v>627</v>
      </c>
      <c r="H219" t="s">
        <v>628</v>
      </c>
      <c r="I219" s="6">
        <v>5</v>
      </c>
      <c r="J219" t="s">
        <v>71</v>
      </c>
      <c r="K219" t="s">
        <v>639</v>
      </c>
    </row>
    <row r="220" spans="1:11">
      <c r="A220" t="s">
        <v>646</v>
      </c>
      <c r="B220" s="5">
        <v>46204</v>
      </c>
      <c r="C220" t="s">
        <v>647</v>
      </c>
      <c r="D220" t="s">
        <v>67</v>
      </c>
      <c r="E220" t="s">
        <v>40</v>
      </c>
      <c r="F220" t="s">
        <v>68</v>
      </c>
      <c r="G220" t="s">
        <v>648</v>
      </c>
      <c r="H220" t="s">
        <v>649</v>
      </c>
      <c r="I220" s="6">
        <v>9</v>
      </c>
      <c r="J220" t="s">
        <v>71</v>
      </c>
      <c r="K220" t="s">
        <v>650</v>
      </c>
    </row>
    <row r="221" spans="1:11">
      <c r="A221" t="s">
        <v>651</v>
      </c>
      <c r="B221" s="5">
        <v>46205</v>
      </c>
      <c r="C221" t="s">
        <v>647</v>
      </c>
      <c r="D221" t="s">
        <v>67</v>
      </c>
      <c r="E221" t="s">
        <v>40</v>
      </c>
      <c r="F221" t="s">
        <v>82</v>
      </c>
      <c r="G221" t="s">
        <v>582</v>
      </c>
      <c r="H221" t="s">
        <v>583</v>
      </c>
      <c r="I221" s="6">
        <v>8</v>
      </c>
      <c r="J221" t="s">
        <v>71</v>
      </c>
      <c r="K221" t="s">
        <v>584</v>
      </c>
    </row>
    <row r="222" spans="1:11">
      <c r="A222" t="s">
        <v>652</v>
      </c>
      <c r="B222" s="5">
        <v>46206</v>
      </c>
      <c r="C222" t="s">
        <v>647</v>
      </c>
      <c r="D222" t="s">
        <v>67</v>
      </c>
      <c r="E222" t="s">
        <v>40</v>
      </c>
      <c r="F222" t="s">
        <v>82</v>
      </c>
      <c r="G222" t="s">
        <v>653</v>
      </c>
      <c r="H222" t="s">
        <v>654</v>
      </c>
      <c r="I222" s="6">
        <v>6.5</v>
      </c>
      <c r="J222" t="s">
        <v>71</v>
      </c>
      <c r="K222" t="s">
        <v>655</v>
      </c>
    </row>
    <row r="223" spans="1:11">
      <c r="A223" t="s">
        <v>656</v>
      </c>
      <c r="B223" s="5">
        <v>46209</v>
      </c>
      <c r="C223" t="s">
        <v>647</v>
      </c>
      <c r="D223" t="s">
        <v>67</v>
      </c>
      <c r="E223" t="s">
        <v>40</v>
      </c>
      <c r="F223" t="s">
        <v>82</v>
      </c>
      <c r="G223" t="s">
        <v>657</v>
      </c>
      <c r="H223" t="s">
        <v>658</v>
      </c>
      <c r="I223" s="6">
        <v>8</v>
      </c>
      <c r="J223" t="s">
        <v>71</v>
      </c>
      <c r="K223" t="s">
        <v>659</v>
      </c>
    </row>
    <row r="224" spans="1:11">
      <c r="A224" t="s">
        <v>660</v>
      </c>
      <c r="B224" s="5">
        <v>46211</v>
      </c>
      <c r="C224" t="s">
        <v>647</v>
      </c>
      <c r="D224" t="s">
        <v>67</v>
      </c>
      <c r="E224" t="s">
        <v>40</v>
      </c>
      <c r="F224" t="s">
        <v>82</v>
      </c>
      <c r="G224" t="s">
        <v>89</v>
      </c>
      <c r="H224" t="s">
        <v>90</v>
      </c>
      <c r="I224" s="6">
        <v>9.5</v>
      </c>
      <c r="J224" t="s">
        <v>71</v>
      </c>
      <c r="K224" t="s">
        <v>661</v>
      </c>
    </row>
    <row r="225" spans="1:11">
      <c r="A225" t="s">
        <v>662</v>
      </c>
      <c r="B225" s="5">
        <v>46212</v>
      </c>
      <c r="C225" t="s">
        <v>647</v>
      </c>
      <c r="D225" t="s">
        <v>67</v>
      </c>
      <c r="E225" t="s">
        <v>40</v>
      </c>
      <c r="F225" t="s">
        <v>82</v>
      </c>
      <c r="G225" t="s">
        <v>663</v>
      </c>
      <c r="H225" t="s">
        <v>664</v>
      </c>
      <c r="I225" s="6">
        <v>5</v>
      </c>
      <c r="J225" t="s">
        <v>95</v>
      </c>
      <c r="K225" t="s">
        <v>665</v>
      </c>
    </row>
    <row r="226" spans="1:11">
      <c r="A226" t="s">
        <v>666</v>
      </c>
      <c r="B226" s="5">
        <v>46213</v>
      </c>
      <c r="C226" t="s">
        <v>647</v>
      </c>
      <c r="D226" t="s">
        <v>67</v>
      </c>
      <c r="E226" t="s">
        <v>40</v>
      </c>
      <c r="F226" t="s">
        <v>82</v>
      </c>
      <c r="G226" t="s">
        <v>335</v>
      </c>
      <c r="H226" t="s">
        <v>336</v>
      </c>
      <c r="I226" s="6">
        <v>8</v>
      </c>
      <c r="J226" t="s">
        <v>71</v>
      </c>
      <c r="K226" t="s">
        <v>337</v>
      </c>
    </row>
    <row r="227" spans="1:11">
      <c r="A227" t="s">
        <v>667</v>
      </c>
      <c r="B227" s="5">
        <v>46214</v>
      </c>
      <c r="C227" t="s">
        <v>647</v>
      </c>
      <c r="D227" t="s">
        <v>67</v>
      </c>
      <c r="E227" t="s">
        <v>40</v>
      </c>
      <c r="F227" t="s">
        <v>68</v>
      </c>
      <c r="G227" t="s">
        <v>98</v>
      </c>
      <c r="H227" t="s">
        <v>99</v>
      </c>
      <c r="I227" s="6">
        <v>8.5</v>
      </c>
      <c r="J227" t="s">
        <v>71</v>
      </c>
      <c r="K227" t="s">
        <v>100</v>
      </c>
    </row>
    <row r="228" spans="1:11">
      <c r="A228" t="s">
        <v>668</v>
      </c>
      <c r="B228" s="5">
        <v>46216</v>
      </c>
      <c r="C228" t="s">
        <v>647</v>
      </c>
      <c r="D228" t="s">
        <v>67</v>
      </c>
      <c r="E228" t="s">
        <v>40</v>
      </c>
      <c r="F228" t="s">
        <v>82</v>
      </c>
      <c r="G228" t="s">
        <v>171</v>
      </c>
      <c r="H228" t="s">
        <v>172</v>
      </c>
      <c r="I228" s="6">
        <v>12</v>
      </c>
      <c r="J228" t="s">
        <v>71</v>
      </c>
      <c r="K228" t="s">
        <v>669</v>
      </c>
    </row>
    <row r="229" spans="1:11">
      <c r="A229" t="s">
        <v>670</v>
      </c>
      <c r="B229" s="5">
        <v>46217</v>
      </c>
      <c r="C229" t="s">
        <v>647</v>
      </c>
      <c r="D229" t="s">
        <v>67</v>
      </c>
      <c r="E229" t="s">
        <v>17</v>
      </c>
      <c r="F229" t="s">
        <v>68</v>
      </c>
      <c r="G229" t="s">
        <v>671</v>
      </c>
      <c r="H229" t="s">
        <v>672</v>
      </c>
      <c r="I229" s="6">
        <v>8</v>
      </c>
      <c r="J229" t="s">
        <v>71</v>
      </c>
      <c r="K229" t="s">
        <v>673</v>
      </c>
    </row>
    <row r="230" spans="1:11">
      <c r="A230" t="s">
        <v>674</v>
      </c>
      <c r="B230" s="5">
        <v>46218</v>
      </c>
      <c r="C230" t="s">
        <v>647</v>
      </c>
      <c r="D230" t="s">
        <v>67</v>
      </c>
      <c r="E230" t="s">
        <v>40</v>
      </c>
      <c r="F230" t="s">
        <v>82</v>
      </c>
      <c r="G230" t="s">
        <v>675</v>
      </c>
      <c r="H230" t="s">
        <v>172</v>
      </c>
      <c r="I230" s="6">
        <v>8.5</v>
      </c>
      <c r="J230" t="s">
        <v>71</v>
      </c>
      <c r="K230" t="s">
        <v>676</v>
      </c>
    </row>
    <row r="231" spans="1:11">
      <c r="A231" t="s">
        <v>677</v>
      </c>
      <c r="B231" s="5">
        <v>46204</v>
      </c>
      <c r="C231" t="s">
        <v>678</v>
      </c>
      <c r="D231" t="s">
        <v>67</v>
      </c>
      <c r="E231" t="s">
        <v>40</v>
      </c>
      <c r="F231" t="s">
        <v>68</v>
      </c>
      <c r="G231" t="s">
        <v>541</v>
      </c>
      <c r="H231" t="s">
        <v>528</v>
      </c>
      <c r="I231" s="6">
        <v>11.5</v>
      </c>
      <c r="J231" t="s">
        <v>71</v>
      </c>
      <c r="K231" t="s">
        <v>542</v>
      </c>
    </row>
    <row r="232" spans="1:11">
      <c r="A232" t="s">
        <v>679</v>
      </c>
      <c r="B232" s="5">
        <v>46213</v>
      </c>
      <c r="C232" t="s">
        <v>678</v>
      </c>
      <c r="I232" s="6">
        <v>0</v>
      </c>
      <c r="J232" t="s">
        <v>680</v>
      </c>
      <c r="K232" t="s">
        <v>681</v>
      </c>
    </row>
    <row r="233" spans="1:11">
      <c r="A233" t="s">
        <v>682</v>
      </c>
      <c r="B233" s="5">
        <v>46216</v>
      </c>
      <c r="C233" t="s">
        <v>678</v>
      </c>
      <c r="D233" t="s">
        <v>67</v>
      </c>
      <c r="E233" t="s">
        <v>40</v>
      </c>
      <c r="F233" t="s">
        <v>68</v>
      </c>
      <c r="G233" t="s">
        <v>541</v>
      </c>
      <c r="H233" t="s">
        <v>528</v>
      </c>
      <c r="I233" s="6">
        <v>11.5</v>
      </c>
      <c r="J233" t="s">
        <v>71</v>
      </c>
      <c r="K233" t="s">
        <v>542</v>
      </c>
    </row>
    <row r="234" spans="1:11">
      <c r="A234" t="s">
        <v>683</v>
      </c>
      <c r="B234" s="5">
        <v>46217</v>
      </c>
      <c r="C234" t="s">
        <v>678</v>
      </c>
      <c r="D234" t="s">
        <v>67</v>
      </c>
      <c r="E234" t="s">
        <v>40</v>
      </c>
      <c r="F234" t="s">
        <v>68</v>
      </c>
      <c r="G234" t="s">
        <v>541</v>
      </c>
      <c r="H234" t="s">
        <v>528</v>
      </c>
      <c r="I234" s="6">
        <v>11.5</v>
      </c>
      <c r="J234" t="s">
        <v>71</v>
      </c>
      <c r="K234" t="s">
        <v>542</v>
      </c>
    </row>
    <row r="235" spans="1:11">
      <c r="A235" t="s">
        <v>684</v>
      </c>
      <c r="B235" s="5">
        <v>46218</v>
      </c>
      <c r="C235" t="s">
        <v>678</v>
      </c>
      <c r="D235" t="s">
        <v>67</v>
      </c>
      <c r="E235" t="s">
        <v>40</v>
      </c>
      <c r="F235" t="s">
        <v>68</v>
      </c>
      <c r="G235" t="s">
        <v>541</v>
      </c>
      <c r="H235" t="s">
        <v>528</v>
      </c>
      <c r="I235" s="6">
        <v>11.5</v>
      </c>
      <c r="J235" t="s">
        <v>71</v>
      </c>
      <c r="K235" t="s">
        <v>542</v>
      </c>
    </row>
    <row r="236" spans="1:11">
      <c r="A236" t="s">
        <v>685</v>
      </c>
      <c r="B236" s="5">
        <v>46204</v>
      </c>
      <c r="C236" t="s">
        <v>686</v>
      </c>
      <c r="D236" t="s">
        <v>67</v>
      </c>
      <c r="E236" t="s">
        <v>40</v>
      </c>
      <c r="F236" t="s">
        <v>68</v>
      </c>
      <c r="G236" t="s">
        <v>413</v>
      </c>
      <c r="H236" t="s">
        <v>414</v>
      </c>
      <c r="I236" s="6">
        <v>8.5</v>
      </c>
      <c r="J236" t="s">
        <v>71</v>
      </c>
      <c r="K236" t="s">
        <v>687</v>
      </c>
    </row>
    <row r="237" spans="1:11">
      <c r="A237" t="s">
        <v>688</v>
      </c>
      <c r="B237" s="5">
        <v>46205</v>
      </c>
      <c r="C237" t="s">
        <v>686</v>
      </c>
      <c r="D237" t="s">
        <v>67</v>
      </c>
      <c r="E237" t="s">
        <v>40</v>
      </c>
      <c r="F237" t="s">
        <v>68</v>
      </c>
      <c r="G237" t="s">
        <v>292</v>
      </c>
      <c r="H237" t="s">
        <v>293</v>
      </c>
      <c r="I237" s="6">
        <v>8.5</v>
      </c>
      <c r="J237" t="s">
        <v>71</v>
      </c>
      <c r="K237" t="s">
        <v>294</v>
      </c>
    </row>
    <row r="238" spans="1:11">
      <c r="A238" t="s">
        <v>689</v>
      </c>
      <c r="B238" s="5">
        <v>46206</v>
      </c>
      <c r="C238" t="s">
        <v>686</v>
      </c>
      <c r="D238" t="s">
        <v>67</v>
      </c>
      <c r="E238" t="s">
        <v>40</v>
      </c>
      <c r="F238" t="s">
        <v>68</v>
      </c>
      <c r="G238" t="s">
        <v>292</v>
      </c>
      <c r="H238" t="s">
        <v>293</v>
      </c>
      <c r="I238" s="6">
        <v>8.5</v>
      </c>
      <c r="J238" t="s">
        <v>71</v>
      </c>
      <c r="K238" t="s">
        <v>294</v>
      </c>
    </row>
    <row r="239" spans="1:11">
      <c r="A239" t="s">
        <v>690</v>
      </c>
      <c r="B239" s="5">
        <v>46209</v>
      </c>
      <c r="C239" t="s">
        <v>686</v>
      </c>
      <c r="D239" t="s">
        <v>67</v>
      </c>
      <c r="E239" t="s">
        <v>40</v>
      </c>
      <c r="F239" t="s">
        <v>68</v>
      </c>
      <c r="G239" t="s">
        <v>292</v>
      </c>
      <c r="H239" t="s">
        <v>293</v>
      </c>
      <c r="I239" s="6">
        <v>8.5</v>
      </c>
      <c r="J239" t="s">
        <v>71</v>
      </c>
      <c r="K239" t="s">
        <v>294</v>
      </c>
    </row>
    <row r="240" spans="1:11">
      <c r="A240" t="s">
        <v>691</v>
      </c>
      <c r="B240" s="5">
        <v>46210</v>
      </c>
      <c r="C240" t="s">
        <v>686</v>
      </c>
      <c r="D240" t="s">
        <v>67</v>
      </c>
      <c r="E240" t="s">
        <v>40</v>
      </c>
      <c r="F240" t="s">
        <v>68</v>
      </c>
      <c r="G240" t="s">
        <v>292</v>
      </c>
      <c r="H240" t="s">
        <v>293</v>
      </c>
      <c r="I240" s="6">
        <v>8.5</v>
      </c>
      <c r="J240" t="s">
        <v>71</v>
      </c>
      <c r="K240" t="s">
        <v>294</v>
      </c>
    </row>
    <row r="241" spans="1:11">
      <c r="A241" t="s">
        <v>692</v>
      </c>
      <c r="B241" s="5">
        <v>46211</v>
      </c>
      <c r="C241" t="s">
        <v>686</v>
      </c>
      <c r="D241" t="s">
        <v>67</v>
      </c>
      <c r="E241" t="s">
        <v>40</v>
      </c>
      <c r="F241" t="s">
        <v>68</v>
      </c>
      <c r="G241" t="s">
        <v>292</v>
      </c>
      <c r="H241" t="s">
        <v>293</v>
      </c>
      <c r="I241" s="6">
        <v>8.5</v>
      </c>
      <c r="J241" t="s">
        <v>71</v>
      </c>
      <c r="K241" t="s">
        <v>294</v>
      </c>
    </row>
    <row r="242" spans="1:11">
      <c r="A242" t="s">
        <v>693</v>
      </c>
      <c r="B242" s="5">
        <v>46212</v>
      </c>
      <c r="C242" t="s">
        <v>686</v>
      </c>
      <c r="D242" t="s">
        <v>67</v>
      </c>
      <c r="E242" t="s">
        <v>40</v>
      </c>
      <c r="F242" t="s">
        <v>68</v>
      </c>
      <c r="G242" t="s">
        <v>292</v>
      </c>
      <c r="H242" t="s">
        <v>293</v>
      </c>
      <c r="I242" s="6">
        <v>8.5</v>
      </c>
      <c r="J242" t="s">
        <v>71</v>
      </c>
      <c r="K242" t="s">
        <v>294</v>
      </c>
    </row>
    <row r="243" spans="1:11">
      <c r="A243" t="s">
        <v>694</v>
      </c>
      <c r="B243" s="5">
        <v>46213</v>
      </c>
      <c r="C243" t="s">
        <v>686</v>
      </c>
      <c r="D243" t="s">
        <v>67</v>
      </c>
      <c r="E243" t="s">
        <v>40</v>
      </c>
      <c r="F243" t="s">
        <v>68</v>
      </c>
      <c r="G243" t="s">
        <v>292</v>
      </c>
      <c r="H243" t="s">
        <v>293</v>
      </c>
      <c r="I243" s="6">
        <v>8.5</v>
      </c>
      <c r="J243" t="s">
        <v>71</v>
      </c>
      <c r="K243" t="s">
        <v>294</v>
      </c>
    </row>
    <row r="244" spans="1:11">
      <c r="A244" t="s">
        <v>695</v>
      </c>
      <c r="B244" s="5">
        <v>46216</v>
      </c>
      <c r="C244" t="s">
        <v>686</v>
      </c>
      <c r="D244" t="s">
        <v>67</v>
      </c>
      <c r="E244" t="s">
        <v>40</v>
      </c>
      <c r="F244" t="s">
        <v>68</v>
      </c>
      <c r="G244" t="s">
        <v>102</v>
      </c>
      <c r="H244" t="s">
        <v>103</v>
      </c>
      <c r="I244" s="6">
        <v>8.5</v>
      </c>
      <c r="J244" t="s">
        <v>71</v>
      </c>
      <c r="K244" t="s">
        <v>104</v>
      </c>
    </row>
    <row r="245" spans="1:11">
      <c r="A245" t="s">
        <v>696</v>
      </c>
      <c r="B245" s="5">
        <v>46217</v>
      </c>
      <c r="C245" t="s">
        <v>686</v>
      </c>
      <c r="D245" t="s">
        <v>67</v>
      </c>
      <c r="E245" t="s">
        <v>40</v>
      </c>
      <c r="F245" t="s">
        <v>68</v>
      </c>
      <c r="G245" t="s">
        <v>102</v>
      </c>
      <c r="H245" t="s">
        <v>103</v>
      </c>
      <c r="I245" s="6">
        <v>11</v>
      </c>
      <c r="J245" t="s">
        <v>71</v>
      </c>
      <c r="K245" t="s">
        <v>106</v>
      </c>
    </row>
    <row r="246" spans="1:11">
      <c r="A246" t="s">
        <v>697</v>
      </c>
      <c r="B246" s="5">
        <v>46218</v>
      </c>
      <c r="C246" t="s">
        <v>686</v>
      </c>
      <c r="D246" t="s">
        <v>67</v>
      </c>
      <c r="E246" t="s">
        <v>40</v>
      </c>
      <c r="F246" t="s">
        <v>68</v>
      </c>
      <c r="G246" t="s">
        <v>102</v>
      </c>
      <c r="H246" t="s">
        <v>103</v>
      </c>
      <c r="I246" s="6">
        <v>8</v>
      </c>
      <c r="J246" t="s">
        <v>71</v>
      </c>
      <c r="K246" t="s">
        <v>108</v>
      </c>
    </row>
    <row r="247" spans="1:11">
      <c r="A247" t="s">
        <v>698</v>
      </c>
      <c r="B247" s="5">
        <v>46206</v>
      </c>
      <c r="C247" t="s">
        <v>699</v>
      </c>
      <c r="D247" t="s">
        <v>67</v>
      </c>
      <c r="E247" t="s">
        <v>40</v>
      </c>
      <c r="F247" t="s">
        <v>179</v>
      </c>
      <c r="G247" t="s">
        <v>700</v>
      </c>
      <c r="H247" t="s">
        <v>317</v>
      </c>
      <c r="I247" s="6">
        <v>8</v>
      </c>
      <c r="J247" t="s">
        <v>71</v>
      </c>
      <c r="K247" t="s">
        <v>701</v>
      </c>
    </row>
    <row r="248" spans="1:11">
      <c r="A248" t="s">
        <v>702</v>
      </c>
      <c r="B248" s="5">
        <v>46207</v>
      </c>
      <c r="C248" t="s">
        <v>699</v>
      </c>
      <c r="D248" t="s">
        <v>67</v>
      </c>
      <c r="E248" t="s">
        <v>40</v>
      </c>
      <c r="F248" t="s">
        <v>179</v>
      </c>
      <c r="G248" t="s">
        <v>700</v>
      </c>
      <c r="H248" t="s">
        <v>317</v>
      </c>
      <c r="I248" s="6">
        <v>8</v>
      </c>
      <c r="J248" t="s">
        <v>71</v>
      </c>
      <c r="K248" t="s">
        <v>701</v>
      </c>
    </row>
    <row r="249" spans="1:11">
      <c r="A249" t="s">
        <v>703</v>
      </c>
      <c r="B249" s="5">
        <v>46209</v>
      </c>
      <c r="C249" t="s">
        <v>699</v>
      </c>
      <c r="D249" t="s">
        <v>67</v>
      </c>
      <c r="E249" t="s">
        <v>15</v>
      </c>
      <c r="F249" t="s">
        <v>179</v>
      </c>
      <c r="G249" t="s">
        <v>704</v>
      </c>
      <c r="H249" t="s">
        <v>705</v>
      </c>
      <c r="I249" s="6">
        <v>8</v>
      </c>
      <c r="J249" t="s">
        <v>71</v>
      </c>
      <c r="K249" t="s">
        <v>706</v>
      </c>
    </row>
    <row r="250" spans="1:11">
      <c r="A250" t="s">
        <v>707</v>
      </c>
      <c r="B250" s="5">
        <v>46212</v>
      </c>
      <c r="C250" t="s">
        <v>699</v>
      </c>
      <c r="D250" t="s">
        <v>67</v>
      </c>
      <c r="E250" t="s">
        <v>15</v>
      </c>
      <c r="F250" t="s">
        <v>179</v>
      </c>
      <c r="G250" t="s">
        <v>708</v>
      </c>
      <c r="H250" t="s">
        <v>709</v>
      </c>
      <c r="I250" s="6">
        <v>9.5</v>
      </c>
      <c r="J250" t="s">
        <v>71</v>
      </c>
      <c r="K250" t="s">
        <v>710</v>
      </c>
    </row>
    <row r="251" spans="1:11">
      <c r="A251" t="s">
        <v>711</v>
      </c>
      <c r="B251" s="5">
        <v>46213</v>
      </c>
      <c r="C251" t="s">
        <v>699</v>
      </c>
      <c r="D251" t="s">
        <v>67</v>
      </c>
      <c r="E251" t="s">
        <v>17</v>
      </c>
      <c r="F251" t="s">
        <v>179</v>
      </c>
      <c r="G251" t="s">
        <v>712</v>
      </c>
      <c r="H251" t="s">
        <v>713</v>
      </c>
      <c r="I251" s="6">
        <v>9.5</v>
      </c>
      <c r="J251" t="s">
        <v>71</v>
      </c>
      <c r="K251" t="s">
        <v>714</v>
      </c>
    </row>
    <row r="252" spans="1:11">
      <c r="A252" t="s">
        <v>715</v>
      </c>
      <c r="B252" s="5">
        <v>46216</v>
      </c>
      <c r="C252" t="s">
        <v>699</v>
      </c>
      <c r="D252" t="s">
        <v>67</v>
      </c>
      <c r="E252" t="s">
        <v>15</v>
      </c>
      <c r="F252" t="s">
        <v>179</v>
      </c>
      <c r="G252" t="s">
        <v>716</v>
      </c>
      <c r="H252" t="s">
        <v>717</v>
      </c>
      <c r="I252" s="6">
        <v>11</v>
      </c>
      <c r="J252" t="s">
        <v>71</v>
      </c>
      <c r="K252" t="s">
        <v>718</v>
      </c>
    </row>
    <row r="253" spans="1:11">
      <c r="A253" t="s">
        <v>719</v>
      </c>
      <c r="B253" s="5">
        <v>46217</v>
      </c>
      <c r="C253" t="s">
        <v>699</v>
      </c>
      <c r="D253" t="s">
        <v>67</v>
      </c>
      <c r="E253" t="s">
        <v>15</v>
      </c>
      <c r="F253" t="s">
        <v>179</v>
      </c>
      <c r="G253" t="s">
        <v>716</v>
      </c>
      <c r="H253" t="s">
        <v>717</v>
      </c>
      <c r="I253" s="6">
        <v>9.5</v>
      </c>
      <c r="J253" t="s">
        <v>71</v>
      </c>
      <c r="K253" t="s">
        <v>720</v>
      </c>
    </row>
    <row r="254" spans="1:11">
      <c r="A254" t="s">
        <v>721</v>
      </c>
      <c r="B254" s="5">
        <v>46204</v>
      </c>
      <c r="C254" t="s">
        <v>722</v>
      </c>
      <c r="D254" t="s">
        <v>67</v>
      </c>
      <c r="E254" t="s">
        <v>40</v>
      </c>
      <c r="F254" t="s">
        <v>82</v>
      </c>
      <c r="G254" t="s">
        <v>292</v>
      </c>
      <c r="H254" t="s">
        <v>293</v>
      </c>
      <c r="I254" s="6">
        <v>8.5</v>
      </c>
      <c r="J254" t="s">
        <v>71</v>
      </c>
      <c r="K254" t="s">
        <v>723</v>
      </c>
    </row>
    <row r="255" spans="1:11">
      <c r="A255" t="s">
        <v>724</v>
      </c>
      <c r="B255" s="5">
        <v>46205</v>
      </c>
      <c r="C255" t="s">
        <v>722</v>
      </c>
      <c r="D255" t="s">
        <v>67</v>
      </c>
      <c r="E255" t="s">
        <v>40</v>
      </c>
      <c r="F255" t="s">
        <v>82</v>
      </c>
      <c r="G255" t="s">
        <v>292</v>
      </c>
      <c r="H255" t="s">
        <v>293</v>
      </c>
      <c r="I255" s="6">
        <v>8.5</v>
      </c>
      <c r="J255" t="s">
        <v>71</v>
      </c>
      <c r="K255" t="s">
        <v>723</v>
      </c>
    </row>
    <row r="256" spans="1:11">
      <c r="A256" t="s">
        <v>725</v>
      </c>
      <c r="B256" s="5">
        <v>46206</v>
      </c>
      <c r="C256" t="s">
        <v>722</v>
      </c>
      <c r="D256" t="s">
        <v>67</v>
      </c>
      <c r="E256" t="s">
        <v>40</v>
      </c>
      <c r="F256" t="s">
        <v>82</v>
      </c>
      <c r="G256" t="s">
        <v>292</v>
      </c>
      <c r="H256" t="s">
        <v>293</v>
      </c>
      <c r="I256" s="6">
        <v>8.5</v>
      </c>
      <c r="J256" t="s">
        <v>71</v>
      </c>
      <c r="K256" t="s">
        <v>723</v>
      </c>
    </row>
    <row r="257" spans="1:11">
      <c r="A257" t="s">
        <v>726</v>
      </c>
      <c r="B257" s="5">
        <v>46207</v>
      </c>
      <c r="C257" t="s">
        <v>722</v>
      </c>
      <c r="D257" t="s">
        <v>67</v>
      </c>
      <c r="E257" t="s">
        <v>40</v>
      </c>
      <c r="F257" t="s">
        <v>82</v>
      </c>
      <c r="G257" t="s">
        <v>74</v>
      </c>
      <c r="H257" t="s">
        <v>75</v>
      </c>
      <c r="I257" s="6">
        <v>9</v>
      </c>
      <c r="J257" t="s">
        <v>71</v>
      </c>
      <c r="K257" t="s">
        <v>727</v>
      </c>
    </row>
    <row r="258" spans="1:11">
      <c r="A258" t="s">
        <v>728</v>
      </c>
      <c r="B258" s="5">
        <v>46209</v>
      </c>
      <c r="C258" t="s">
        <v>722</v>
      </c>
      <c r="D258" t="s">
        <v>67</v>
      </c>
      <c r="E258" t="s">
        <v>40</v>
      </c>
      <c r="F258" t="s">
        <v>82</v>
      </c>
      <c r="G258" t="s">
        <v>292</v>
      </c>
      <c r="H258" t="s">
        <v>293</v>
      </c>
      <c r="I258" s="6">
        <v>8.5</v>
      </c>
      <c r="J258" t="s">
        <v>71</v>
      </c>
      <c r="K258" t="s">
        <v>723</v>
      </c>
    </row>
    <row r="259" spans="1:11">
      <c r="A259" t="s">
        <v>729</v>
      </c>
      <c r="B259" s="5">
        <v>46210</v>
      </c>
      <c r="C259" t="s">
        <v>722</v>
      </c>
      <c r="D259" t="s">
        <v>67</v>
      </c>
      <c r="E259" t="s">
        <v>40</v>
      </c>
      <c r="F259" t="s">
        <v>82</v>
      </c>
      <c r="G259" t="s">
        <v>292</v>
      </c>
      <c r="H259" t="s">
        <v>293</v>
      </c>
      <c r="I259" s="6">
        <v>8.5</v>
      </c>
      <c r="J259" t="s">
        <v>71</v>
      </c>
      <c r="K259" t="s">
        <v>723</v>
      </c>
    </row>
    <row r="260" spans="1:11">
      <c r="A260" t="s">
        <v>730</v>
      </c>
      <c r="B260" s="5">
        <v>46211</v>
      </c>
      <c r="C260" t="s">
        <v>722</v>
      </c>
      <c r="D260" t="s">
        <v>67</v>
      </c>
      <c r="E260" t="s">
        <v>40</v>
      </c>
      <c r="F260" t="s">
        <v>82</v>
      </c>
      <c r="G260" t="s">
        <v>292</v>
      </c>
      <c r="H260" t="s">
        <v>293</v>
      </c>
      <c r="I260" s="6">
        <v>8.5</v>
      </c>
      <c r="J260" t="s">
        <v>71</v>
      </c>
      <c r="K260" t="s">
        <v>723</v>
      </c>
    </row>
    <row r="261" spans="1:11">
      <c r="A261" t="s">
        <v>731</v>
      </c>
      <c r="B261" s="5">
        <v>46212</v>
      </c>
      <c r="C261" t="s">
        <v>722</v>
      </c>
      <c r="D261" t="s">
        <v>67</v>
      </c>
      <c r="E261" t="s">
        <v>40</v>
      </c>
      <c r="F261" t="s">
        <v>82</v>
      </c>
      <c r="G261" t="s">
        <v>292</v>
      </c>
      <c r="H261" t="s">
        <v>293</v>
      </c>
      <c r="I261" s="6">
        <v>8.5</v>
      </c>
      <c r="J261" t="s">
        <v>71</v>
      </c>
      <c r="K261" t="s">
        <v>723</v>
      </c>
    </row>
    <row r="262" spans="1:11">
      <c r="A262" t="s">
        <v>732</v>
      </c>
      <c r="B262" s="5">
        <v>46213</v>
      </c>
      <c r="C262" t="s">
        <v>722</v>
      </c>
      <c r="D262" t="s">
        <v>67</v>
      </c>
      <c r="E262" t="s">
        <v>40</v>
      </c>
      <c r="F262" t="s">
        <v>82</v>
      </c>
      <c r="G262" t="s">
        <v>292</v>
      </c>
      <c r="H262" t="s">
        <v>293</v>
      </c>
      <c r="I262" s="6">
        <v>8.5</v>
      </c>
      <c r="J262" t="s">
        <v>71</v>
      </c>
      <c r="K262" t="s">
        <v>723</v>
      </c>
    </row>
    <row r="263" spans="1:11">
      <c r="A263" t="s">
        <v>733</v>
      </c>
      <c r="B263" s="5">
        <v>46217</v>
      </c>
      <c r="C263" t="s">
        <v>722</v>
      </c>
      <c r="D263" t="s">
        <v>67</v>
      </c>
      <c r="E263" t="s">
        <v>40</v>
      </c>
      <c r="F263" t="s">
        <v>82</v>
      </c>
      <c r="G263" t="s">
        <v>292</v>
      </c>
      <c r="H263" t="s">
        <v>293</v>
      </c>
      <c r="I263" s="6">
        <v>8.5</v>
      </c>
      <c r="J263" t="s">
        <v>71</v>
      </c>
      <c r="K263" t="s">
        <v>723</v>
      </c>
    </row>
    <row r="264" spans="1:11">
      <c r="A264" t="s">
        <v>734</v>
      </c>
      <c r="B264" s="5">
        <v>46218</v>
      </c>
      <c r="C264" t="s">
        <v>722</v>
      </c>
      <c r="D264" t="s">
        <v>67</v>
      </c>
      <c r="E264" t="s">
        <v>40</v>
      </c>
      <c r="F264" t="s">
        <v>82</v>
      </c>
      <c r="G264" t="s">
        <v>292</v>
      </c>
      <c r="H264" t="s">
        <v>293</v>
      </c>
      <c r="I264" s="6">
        <v>8.5</v>
      </c>
      <c r="J264" t="s">
        <v>71</v>
      </c>
      <c r="K264" t="s">
        <v>723</v>
      </c>
    </row>
    <row r="265" spans="1:11">
      <c r="A265" t="s">
        <v>735</v>
      </c>
      <c r="B265" s="5">
        <v>46204</v>
      </c>
      <c r="C265" t="s">
        <v>736</v>
      </c>
      <c r="D265" t="s">
        <v>67</v>
      </c>
      <c r="E265" t="s">
        <v>29</v>
      </c>
      <c r="F265" t="s">
        <v>82</v>
      </c>
      <c r="G265" t="s">
        <v>201</v>
      </c>
      <c r="H265" t="s">
        <v>202</v>
      </c>
      <c r="I265" s="6">
        <v>7</v>
      </c>
      <c r="J265" t="s">
        <v>71</v>
      </c>
      <c r="K265" t="s">
        <v>737</v>
      </c>
    </row>
    <row r="266" spans="1:11">
      <c r="A266" t="s">
        <v>738</v>
      </c>
      <c r="B266" s="5">
        <v>46206</v>
      </c>
      <c r="C266" t="s">
        <v>736</v>
      </c>
      <c r="D266" t="s">
        <v>67</v>
      </c>
      <c r="E266" t="s">
        <v>9</v>
      </c>
      <c r="F266" t="s">
        <v>68</v>
      </c>
      <c r="G266" t="s">
        <v>188</v>
      </c>
      <c r="H266" t="s">
        <v>189</v>
      </c>
      <c r="I266" s="6">
        <v>9</v>
      </c>
      <c r="J266" t="s">
        <v>71</v>
      </c>
      <c r="K266" t="s">
        <v>190</v>
      </c>
    </row>
    <row r="267" spans="1:11">
      <c r="A267" t="s">
        <v>739</v>
      </c>
      <c r="B267" s="5">
        <v>46209</v>
      </c>
      <c r="C267" t="s">
        <v>736</v>
      </c>
      <c r="D267" t="s">
        <v>67</v>
      </c>
      <c r="E267" t="s">
        <v>29</v>
      </c>
      <c r="F267" t="s">
        <v>82</v>
      </c>
      <c r="G267" t="s">
        <v>192</v>
      </c>
      <c r="H267" t="s">
        <v>193</v>
      </c>
      <c r="I267" s="6">
        <v>8.25</v>
      </c>
      <c r="J267" t="s">
        <v>194</v>
      </c>
      <c r="K267" t="s">
        <v>740</v>
      </c>
    </row>
    <row r="268" spans="1:11">
      <c r="A268" t="s">
        <v>741</v>
      </c>
      <c r="B268" s="5">
        <v>46210</v>
      </c>
      <c r="C268" t="s">
        <v>736</v>
      </c>
      <c r="D268" t="s">
        <v>67</v>
      </c>
      <c r="E268" t="s">
        <v>28</v>
      </c>
      <c r="F268" t="s">
        <v>82</v>
      </c>
      <c r="G268" t="s">
        <v>742</v>
      </c>
      <c r="H268" t="s">
        <v>743</v>
      </c>
      <c r="I268" s="6">
        <v>7.5</v>
      </c>
      <c r="J268" t="s">
        <v>71</v>
      </c>
      <c r="K268" t="s">
        <v>744</v>
      </c>
    </row>
    <row r="269" spans="1:11">
      <c r="A269" t="s">
        <v>745</v>
      </c>
      <c r="B269" s="5">
        <v>46211</v>
      </c>
      <c r="C269" t="s">
        <v>736</v>
      </c>
      <c r="D269" t="s">
        <v>67</v>
      </c>
      <c r="E269" t="s">
        <v>29</v>
      </c>
      <c r="F269" t="s">
        <v>82</v>
      </c>
      <c r="G269" t="s">
        <v>201</v>
      </c>
      <c r="H269" t="s">
        <v>202</v>
      </c>
      <c r="I269" s="6">
        <v>8.5</v>
      </c>
      <c r="J269" t="s">
        <v>71</v>
      </c>
      <c r="K269" t="s">
        <v>746</v>
      </c>
    </row>
    <row r="270" spans="1:11">
      <c r="A270" t="s">
        <v>747</v>
      </c>
      <c r="B270" s="5">
        <v>46212</v>
      </c>
      <c r="C270" t="s">
        <v>736</v>
      </c>
      <c r="D270" t="s">
        <v>67</v>
      </c>
      <c r="E270" t="s">
        <v>29</v>
      </c>
      <c r="F270" t="s">
        <v>82</v>
      </c>
      <c r="G270" t="s">
        <v>748</v>
      </c>
      <c r="H270" t="s">
        <v>749</v>
      </c>
      <c r="I270" s="6">
        <v>6.5</v>
      </c>
      <c r="J270" t="s">
        <v>71</v>
      </c>
      <c r="K270" t="s">
        <v>750</v>
      </c>
    </row>
    <row r="271" spans="1:11">
      <c r="A271" t="s">
        <v>751</v>
      </c>
      <c r="B271" s="5">
        <v>46213</v>
      </c>
      <c r="C271" t="s">
        <v>736</v>
      </c>
      <c r="D271" t="s">
        <v>67</v>
      </c>
      <c r="E271" t="s">
        <v>29</v>
      </c>
      <c r="F271" t="s">
        <v>82</v>
      </c>
      <c r="G271" t="s">
        <v>752</v>
      </c>
      <c r="H271" t="s">
        <v>753</v>
      </c>
      <c r="I271" s="6">
        <v>6.75</v>
      </c>
      <c r="J271" t="s">
        <v>71</v>
      </c>
      <c r="K271" t="s">
        <v>754</v>
      </c>
    </row>
    <row r="272" spans="1:11">
      <c r="A272" t="s">
        <v>755</v>
      </c>
      <c r="B272" s="5">
        <v>46216</v>
      </c>
      <c r="C272" t="s">
        <v>736</v>
      </c>
      <c r="D272" t="s">
        <v>67</v>
      </c>
      <c r="E272" t="s">
        <v>28</v>
      </c>
      <c r="F272" t="s">
        <v>68</v>
      </c>
      <c r="G272" t="s">
        <v>211</v>
      </c>
      <c r="H272" t="s">
        <v>212</v>
      </c>
      <c r="I272" s="6">
        <v>6.5</v>
      </c>
      <c r="J272" t="s">
        <v>71</v>
      </c>
      <c r="K272" t="s">
        <v>213</v>
      </c>
    </row>
    <row r="273" spans="1:11">
      <c r="A273" t="s">
        <v>756</v>
      </c>
      <c r="B273" s="5">
        <v>46217</v>
      </c>
      <c r="C273" t="s">
        <v>736</v>
      </c>
      <c r="D273" t="s">
        <v>67</v>
      </c>
      <c r="E273" t="s">
        <v>17</v>
      </c>
      <c r="F273" t="s">
        <v>82</v>
      </c>
      <c r="G273" t="s">
        <v>757</v>
      </c>
      <c r="H273" t="s">
        <v>758</v>
      </c>
      <c r="I273" s="6">
        <v>9.5</v>
      </c>
      <c r="J273" t="s">
        <v>71</v>
      </c>
      <c r="K273" t="s">
        <v>759</v>
      </c>
    </row>
    <row r="274" spans="1:11">
      <c r="A274" t="s">
        <v>760</v>
      </c>
      <c r="B274" s="5">
        <v>46218</v>
      </c>
      <c r="C274" t="s">
        <v>736</v>
      </c>
      <c r="D274" t="s">
        <v>67</v>
      </c>
      <c r="E274" t="s">
        <v>28</v>
      </c>
      <c r="F274" t="s">
        <v>68</v>
      </c>
      <c r="G274" t="s">
        <v>219</v>
      </c>
      <c r="H274" t="s">
        <v>220</v>
      </c>
      <c r="I274" s="6">
        <v>8.5</v>
      </c>
      <c r="J274" t="s">
        <v>71</v>
      </c>
      <c r="K274" t="s">
        <v>221</v>
      </c>
    </row>
    <row r="275" spans="1:11">
      <c r="A275" t="s">
        <v>761</v>
      </c>
      <c r="B275" s="5">
        <v>46209</v>
      </c>
      <c r="C275" t="s">
        <v>762</v>
      </c>
      <c r="D275" t="s">
        <v>67</v>
      </c>
      <c r="E275" t="s">
        <v>26</v>
      </c>
      <c r="F275" t="s">
        <v>179</v>
      </c>
      <c r="G275" t="s">
        <v>763</v>
      </c>
      <c r="H275" t="s">
        <v>764</v>
      </c>
      <c r="I275" s="6">
        <v>7.5</v>
      </c>
      <c r="J275" t="s">
        <v>71</v>
      </c>
      <c r="K275" t="s">
        <v>765</v>
      </c>
    </row>
    <row r="276" spans="1:11">
      <c r="A276" t="s">
        <v>766</v>
      </c>
      <c r="B276" s="5">
        <v>46211</v>
      </c>
      <c r="C276" t="s">
        <v>762</v>
      </c>
      <c r="D276" t="s">
        <v>67</v>
      </c>
      <c r="E276" t="s">
        <v>28</v>
      </c>
      <c r="F276" t="s">
        <v>179</v>
      </c>
      <c r="G276" t="s">
        <v>468</v>
      </c>
      <c r="H276" t="s">
        <v>469</v>
      </c>
      <c r="I276" s="6">
        <v>10.5</v>
      </c>
      <c r="J276" t="s">
        <v>95</v>
      </c>
      <c r="K276" t="s">
        <v>767</v>
      </c>
    </row>
    <row r="277" spans="1:11">
      <c r="A277" t="s">
        <v>768</v>
      </c>
      <c r="B277" s="5">
        <v>46212</v>
      </c>
      <c r="C277" t="s">
        <v>762</v>
      </c>
      <c r="D277" t="s">
        <v>67</v>
      </c>
      <c r="E277" t="s">
        <v>28</v>
      </c>
      <c r="F277" t="s">
        <v>179</v>
      </c>
      <c r="G277" t="s">
        <v>472</v>
      </c>
      <c r="H277" t="s">
        <v>473</v>
      </c>
      <c r="I277" s="6">
        <v>7.25</v>
      </c>
      <c r="J277" t="s">
        <v>71</v>
      </c>
      <c r="K277" t="s">
        <v>769</v>
      </c>
    </row>
    <row r="278" spans="1:11">
      <c r="A278" t="s">
        <v>770</v>
      </c>
      <c r="B278" s="5">
        <v>46213</v>
      </c>
      <c r="C278" t="s">
        <v>762</v>
      </c>
      <c r="D278" t="s">
        <v>67</v>
      </c>
      <c r="E278" t="s">
        <v>28</v>
      </c>
      <c r="F278" t="s">
        <v>179</v>
      </c>
      <c r="G278" t="s">
        <v>771</v>
      </c>
      <c r="H278" t="s">
        <v>772</v>
      </c>
      <c r="I278" s="6">
        <v>7</v>
      </c>
      <c r="J278" t="s">
        <v>71</v>
      </c>
      <c r="K278" t="s">
        <v>773</v>
      </c>
    </row>
    <row r="279" spans="1:11">
      <c r="A279" t="s">
        <v>774</v>
      </c>
      <c r="B279" s="5">
        <v>46216</v>
      </c>
      <c r="C279" t="s">
        <v>762</v>
      </c>
      <c r="D279" t="s">
        <v>67</v>
      </c>
      <c r="E279" t="s">
        <v>28</v>
      </c>
      <c r="F279" t="s">
        <v>179</v>
      </c>
      <c r="G279" t="s">
        <v>775</v>
      </c>
      <c r="H279" t="s">
        <v>776</v>
      </c>
      <c r="I279" s="6">
        <v>8</v>
      </c>
      <c r="J279" t="s">
        <v>71</v>
      </c>
      <c r="K279" t="s">
        <v>777</v>
      </c>
    </row>
    <row r="280" spans="1:11">
      <c r="A280" t="s">
        <v>778</v>
      </c>
      <c r="B280" s="5">
        <v>46217</v>
      </c>
      <c r="C280" t="s">
        <v>762</v>
      </c>
      <c r="D280" t="s">
        <v>67</v>
      </c>
      <c r="E280" t="s">
        <v>28</v>
      </c>
      <c r="F280" t="s">
        <v>179</v>
      </c>
      <c r="G280" t="s">
        <v>279</v>
      </c>
      <c r="H280" t="s">
        <v>280</v>
      </c>
      <c r="I280" s="6">
        <v>6.5</v>
      </c>
      <c r="J280" t="s">
        <v>71</v>
      </c>
      <c r="K280" t="s">
        <v>779</v>
      </c>
    </row>
    <row r="281" spans="1:11">
      <c r="A281" t="s">
        <v>780</v>
      </c>
      <c r="B281" s="5">
        <v>46218</v>
      </c>
      <c r="C281" t="s">
        <v>762</v>
      </c>
      <c r="D281" t="s">
        <v>67</v>
      </c>
      <c r="E281" t="s">
        <v>28</v>
      </c>
      <c r="F281" t="s">
        <v>179</v>
      </c>
      <c r="G281" t="s">
        <v>219</v>
      </c>
      <c r="H281" t="s">
        <v>220</v>
      </c>
      <c r="I281" s="6">
        <v>10.5</v>
      </c>
      <c r="J281" t="s">
        <v>71</v>
      </c>
      <c r="K281" t="s">
        <v>781</v>
      </c>
    </row>
    <row r="282" spans="1:11">
      <c r="A282" t="s">
        <v>782</v>
      </c>
      <c r="B282" s="5">
        <v>46204</v>
      </c>
      <c r="C282" t="s">
        <v>783</v>
      </c>
      <c r="D282" t="s">
        <v>67</v>
      </c>
      <c r="E282" t="s">
        <v>9</v>
      </c>
      <c r="F282" t="s">
        <v>179</v>
      </c>
      <c r="G282" t="s">
        <v>784</v>
      </c>
      <c r="H282" t="s">
        <v>785</v>
      </c>
      <c r="I282" s="6">
        <v>8</v>
      </c>
      <c r="J282" t="s">
        <v>95</v>
      </c>
      <c r="K282" t="s">
        <v>786</v>
      </c>
    </row>
    <row r="283" spans="1:11">
      <c r="A283" t="s">
        <v>787</v>
      </c>
      <c r="B283" s="5">
        <v>46205</v>
      </c>
      <c r="C283" t="s">
        <v>783</v>
      </c>
      <c r="D283" t="s">
        <v>67</v>
      </c>
      <c r="E283" t="s">
        <v>9</v>
      </c>
      <c r="F283" t="s">
        <v>179</v>
      </c>
      <c r="G283" t="s">
        <v>788</v>
      </c>
      <c r="H283" t="s">
        <v>789</v>
      </c>
      <c r="I283" s="6">
        <v>9</v>
      </c>
      <c r="J283" t="s">
        <v>95</v>
      </c>
      <c r="K283" t="s">
        <v>790</v>
      </c>
    </row>
    <row r="284" spans="1:11">
      <c r="A284" t="s">
        <v>791</v>
      </c>
      <c r="B284" s="5">
        <v>46206</v>
      </c>
      <c r="C284" t="s">
        <v>783</v>
      </c>
      <c r="D284" t="s">
        <v>67</v>
      </c>
      <c r="E284" t="s">
        <v>9</v>
      </c>
      <c r="F284" t="s">
        <v>179</v>
      </c>
      <c r="G284" t="s">
        <v>188</v>
      </c>
      <c r="H284" t="s">
        <v>189</v>
      </c>
      <c r="I284" s="6">
        <v>9</v>
      </c>
      <c r="J284" t="s">
        <v>71</v>
      </c>
      <c r="K284" t="s">
        <v>792</v>
      </c>
    </row>
    <row r="285" spans="1:11">
      <c r="A285" t="s">
        <v>793</v>
      </c>
      <c r="B285" s="5">
        <v>46210</v>
      </c>
      <c r="C285" t="s">
        <v>783</v>
      </c>
      <c r="D285" t="s">
        <v>67</v>
      </c>
      <c r="E285" t="s">
        <v>30</v>
      </c>
      <c r="F285" t="s">
        <v>82</v>
      </c>
      <c r="G285" t="s">
        <v>794</v>
      </c>
      <c r="H285" t="s">
        <v>795</v>
      </c>
      <c r="I285" s="6">
        <v>9</v>
      </c>
      <c r="J285" t="s">
        <v>71</v>
      </c>
      <c r="K285" t="s">
        <v>796</v>
      </c>
    </row>
    <row r="286" spans="1:11">
      <c r="A286" t="s">
        <v>797</v>
      </c>
      <c r="B286" s="5">
        <v>46211</v>
      </c>
      <c r="C286" t="s">
        <v>783</v>
      </c>
      <c r="D286" t="s">
        <v>67</v>
      </c>
      <c r="E286" t="s">
        <v>9</v>
      </c>
      <c r="F286" t="s">
        <v>179</v>
      </c>
      <c r="G286" t="s">
        <v>798</v>
      </c>
      <c r="H286" t="s">
        <v>799</v>
      </c>
      <c r="I286" s="6">
        <v>11</v>
      </c>
      <c r="J286" t="s">
        <v>95</v>
      </c>
      <c r="K286" t="s">
        <v>800</v>
      </c>
    </row>
    <row r="287" spans="1:11">
      <c r="A287" t="s">
        <v>801</v>
      </c>
      <c r="B287" s="5">
        <v>46212</v>
      </c>
      <c r="C287" t="s">
        <v>783</v>
      </c>
      <c r="D287" t="s">
        <v>67</v>
      </c>
      <c r="E287" t="s">
        <v>9</v>
      </c>
      <c r="F287" t="s">
        <v>179</v>
      </c>
      <c r="G287" t="s">
        <v>509</v>
      </c>
      <c r="H287" t="s">
        <v>510</v>
      </c>
      <c r="I287" s="6">
        <v>10.75</v>
      </c>
      <c r="J287" t="s">
        <v>71</v>
      </c>
      <c r="K287" t="s">
        <v>802</v>
      </c>
    </row>
    <row r="288" spans="1:11">
      <c r="A288" t="s">
        <v>803</v>
      </c>
      <c r="B288" s="5">
        <v>46213</v>
      </c>
      <c r="C288" t="s">
        <v>783</v>
      </c>
      <c r="D288" t="s">
        <v>67</v>
      </c>
      <c r="E288" t="s">
        <v>9</v>
      </c>
      <c r="F288" t="s">
        <v>179</v>
      </c>
      <c r="G288" t="s">
        <v>509</v>
      </c>
      <c r="H288" t="s">
        <v>510</v>
      </c>
      <c r="I288" s="6">
        <v>11.5</v>
      </c>
      <c r="J288" t="s">
        <v>95</v>
      </c>
      <c r="K288" t="s">
        <v>804</v>
      </c>
    </row>
    <row r="289" spans="1:11">
      <c r="A289" t="s">
        <v>805</v>
      </c>
      <c r="B289" s="5">
        <v>46216</v>
      </c>
      <c r="C289" t="s">
        <v>783</v>
      </c>
      <c r="D289" t="s">
        <v>67</v>
      </c>
      <c r="E289" t="s">
        <v>9</v>
      </c>
      <c r="F289" t="s">
        <v>179</v>
      </c>
      <c r="G289" t="s">
        <v>509</v>
      </c>
      <c r="H289" t="s">
        <v>510</v>
      </c>
      <c r="I289" s="6">
        <v>6.5</v>
      </c>
      <c r="J289" t="s">
        <v>71</v>
      </c>
      <c r="K289" t="s">
        <v>806</v>
      </c>
    </row>
    <row r="290" spans="1:11">
      <c r="A290" t="s">
        <v>807</v>
      </c>
      <c r="B290" s="5">
        <v>46217</v>
      </c>
      <c r="C290" t="s">
        <v>783</v>
      </c>
      <c r="D290" t="s">
        <v>67</v>
      </c>
      <c r="E290" t="s">
        <v>9</v>
      </c>
      <c r="F290" t="s">
        <v>179</v>
      </c>
      <c r="G290" t="s">
        <v>509</v>
      </c>
      <c r="H290" t="s">
        <v>510</v>
      </c>
      <c r="I290" s="6">
        <v>8.5</v>
      </c>
      <c r="J290" t="s">
        <v>71</v>
      </c>
      <c r="K290" t="s">
        <v>808</v>
      </c>
    </row>
    <row r="291" spans="1:11">
      <c r="A291" t="s">
        <v>809</v>
      </c>
      <c r="B291" s="5">
        <v>46218</v>
      </c>
      <c r="C291" t="s">
        <v>783</v>
      </c>
      <c r="D291" t="s">
        <v>67</v>
      </c>
      <c r="E291" t="s">
        <v>9</v>
      </c>
      <c r="F291" t="s">
        <v>179</v>
      </c>
      <c r="G291" t="s">
        <v>509</v>
      </c>
      <c r="H291" t="s">
        <v>510</v>
      </c>
      <c r="I291" s="6">
        <v>6.5</v>
      </c>
      <c r="J291" t="s">
        <v>71</v>
      </c>
      <c r="K291" t="s">
        <v>806</v>
      </c>
    </row>
    <row r="292" spans="1:11">
      <c r="A292" t="s">
        <v>810</v>
      </c>
      <c r="B292" s="5">
        <v>46204</v>
      </c>
      <c r="C292" t="s">
        <v>811</v>
      </c>
      <c r="D292" t="s">
        <v>67</v>
      </c>
      <c r="E292" t="s">
        <v>24</v>
      </c>
      <c r="F292" t="s">
        <v>68</v>
      </c>
      <c r="G292" t="s">
        <v>812</v>
      </c>
      <c r="H292" t="s">
        <v>399</v>
      </c>
      <c r="I292" s="6">
        <v>9</v>
      </c>
      <c r="J292" t="s">
        <v>71</v>
      </c>
      <c r="K292" t="s">
        <v>813</v>
      </c>
    </row>
    <row r="293" spans="1:11">
      <c r="A293" t="s">
        <v>814</v>
      </c>
      <c r="B293" s="5">
        <v>46205</v>
      </c>
      <c r="C293" t="s">
        <v>811</v>
      </c>
      <c r="D293" t="s">
        <v>67</v>
      </c>
      <c r="E293" t="s">
        <v>24</v>
      </c>
      <c r="F293" t="s">
        <v>68</v>
      </c>
      <c r="G293" t="s">
        <v>812</v>
      </c>
      <c r="H293" t="s">
        <v>399</v>
      </c>
      <c r="I293" s="6">
        <v>6.5</v>
      </c>
      <c r="J293" t="s">
        <v>71</v>
      </c>
      <c r="K293" t="s">
        <v>815</v>
      </c>
    </row>
    <row r="294" spans="1:11">
      <c r="A294" t="s">
        <v>816</v>
      </c>
      <c r="B294" s="5">
        <v>46206</v>
      </c>
      <c r="C294" t="s">
        <v>811</v>
      </c>
      <c r="D294" t="s">
        <v>67</v>
      </c>
      <c r="E294" t="s">
        <v>24</v>
      </c>
      <c r="F294" t="s">
        <v>68</v>
      </c>
      <c r="G294" t="s">
        <v>633</v>
      </c>
      <c r="H294" t="s">
        <v>407</v>
      </c>
      <c r="I294" s="6">
        <v>6.5</v>
      </c>
      <c r="J294" t="s">
        <v>71</v>
      </c>
      <c r="K294" t="s">
        <v>817</v>
      </c>
    </row>
    <row r="295" spans="1:11">
      <c r="A295" t="s">
        <v>818</v>
      </c>
      <c r="B295" s="5">
        <v>46207</v>
      </c>
      <c r="C295" t="s">
        <v>811</v>
      </c>
      <c r="D295" t="s">
        <v>67</v>
      </c>
      <c r="E295" t="s">
        <v>24</v>
      </c>
      <c r="F295" t="s">
        <v>179</v>
      </c>
      <c r="G295" t="s">
        <v>819</v>
      </c>
      <c r="H295" t="s">
        <v>820</v>
      </c>
      <c r="I295" s="6">
        <v>7.5</v>
      </c>
      <c r="J295" t="s">
        <v>71</v>
      </c>
      <c r="K295" t="s">
        <v>821</v>
      </c>
    </row>
    <row r="296" spans="1:11">
      <c r="A296" t="s">
        <v>822</v>
      </c>
      <c r="B296" s="5">
        <v>46209</v>
      </c>
      <c r="C296" t="s">
        <v>811</v>
      </c>
      <c r="D296" t="s">
        <v>67</v>
      </c>
      <c r="E296" t="s">
        <v>24</v>
      </c>
      <c r="F296" t="s">
        <v>179</v>
      </c>
      <c r="G296" t="s">
        <v>823</v>
      </c>
      <c r="H296" t="s">
        <v>399</v>
      </c>
      <c r="I296" s="6">
        <v>9</v>
      </c>
      <c r="J296" t="s">
        <v>71</v>
      </c>
      <c r="K296" t="s">
        <v>824</v>
      </c>
    </row>
    <row r="297" spans="1:11">
      <c r="A297" t="s">
        <v>825</v>
      </c>
      <c r="B297" s="5">
        <v>46210</v>
      </c>
      <c r="C297" t="s">
        <v>811</v>
      </c>
      <c r="D297" t="s">
        <v>67</v>
      </c>
      <c r="E297" t="s">
        <v>24</v>
      </c>
      <c r="F297" t="s">
        <v>68</v>
      </c>
      <c r="G297" t="s">
        <v>633</v>
      </c>
      <c r="H297" t="s">
        <v>407</v>
      </c>
      <c r="I297" s="6">
        <v>6.5</v>
      </c>
      <c r="J297" t="s">
        <v>71</v>
      </c>
      <c r="K297" t="s">
        <v>817</v>
      </c>
    </row>
    <row r="298" spans="1:11">
      <c r="A298" t="s">
        <v>826</v>
      </c>
      <c r="B298" s="5">
        <v>46211</v>
      </c>
      <c r="C298" t="s">
        <v>811</v>
      </c>
      <c r="D298" t="s">
        <v>67</v>
      </c>
      <c r="E298" t="s">
        <v>24</v>
      </c>
      <c r="F298" t="s">
        <v>68</v>
      </c>
      <c r="G298" t="s">
        <v>633</v>
      </c>
      <c r="H298" t="s">
        <v>407</v>
      </c>
      <c r="I298" s="6">
        <v>6</v>
      </c>
      <c r="J298" t="s">
        <v>71</v>
      </c>
      <c r="K298" t="s">
        <v>827</v>
      </c>
    </row>
    <row r="299" spans="1:11">
      <c r="A299" t="s">
        <v>828</v>
      </c>
      <c r="B299" s="5">
        <v>46212</v>
      </c>
      <c r="C299" t="s">
        <v>811</v>
      </c>
      <c r="D299" t="s">
        <v>67</v>
      </c>
      <c r="E299" t="s">
        <v>24</v>
      </c>
      <c r="F299" t="s">
        <v>68</v>
      </c>
      <c r="G299" t="s">
        <v>633</v>
      </c>
      <c r="H299" t="s">
        <v>407</v>
      </c>
      <c r="I299" s="6">
        <v>8</v>
      </c>
      <c r="J299" t="s">
        <v>71</v>
      </c>
      <c r="K299" t="s">
        <v>829</v>
      </c>
    </row>
    <row r="300" spans="1:11">
      <c r="A300" t="s">
        <v>830</v>
      </c>
      <c r="B300" s="5">
        <v>46213</v>
      </c>
      <c r="C300" t="s">
        <v>811</v>
      </c>
      <c r="D300" t="s">
        <v>67</v>
      </c>
      <c r="E300" t="s">
        <v>24</v>
      </c>
      <c r="F300" t="s">
        <v>68</v>
      </c>
      <c r="G300" t="s">
        <v>633</v>
      </c>
      <c r="H300" t="s">
        <v>407</v>
      </c>
      <c r="I300" s="6">
        <v>6</v>
      </c>
      <c r="J300" t="s">
        <v>71</v>
      </c>
      <c r="K300" t="s">
        <v>827</v>
      </c>
    </row>
    <row r="301" spans="1:11">
      <c r="A301" t="s">
        <v>831</v>
      </c>
      <c r="B301" s="5">
        <v>46216</v>
      </c>
      <c r="C301" t="s">
        <v>811</v>
      </c>
      <c r="D301" t="s">
        <v>67</v>
      </c>
      <c r="E301" t="s">
        <v>24</v>
      </c>
      <c r="F301" t="s">
        <v>68</v>
      </c>
      <c r="G301" t="s">
        <v>633</v>
      </c>
      <c r="H301" t="s">
        <v>407</v>
      </c>
      <c r="I301" s="6">
        <v>6</v>
      </c>
      <c r="J301" t="s">
        <v>71</v>
      </c>
      <c r="K301" t="s">
        <v>827</v>
      </c>
    </row>
    <row r="302" spans="1:11">
      <c r="A302" t="s">
        <v>832</v>
      </c>
      <c r="B302" s="5">
        <v>46217</v>
      </c>
      <c r="C302" t="s">
        <v>811</v>
      </c>
      <c r="D302" t="s">
        <v>67</v>
      </c>
      <c r="E302" t="s">
        <v>24</v>
      </c>
      <c r="F302" t="s">
        <v>68</v>
      </c>
      <c r="G302" t="s">
        <v>633</v>
      </c>
      <c r="H302" t="s">
        <v>407</v>
      </c>
      <c r="I302" s="6">
        <v>7.5</v>
      </c>
      <c r="J302" t="s">
        <v>71</v>
      </c>
      <c r="K302" t="s">
        <v>833</v>
      </c>
    </row>
    <row r="303" spans="1:11">
      <c r="A303" t="s">
        <v>834</v>
      </c>
      <c r="B303" s="5">
        <v>46218</v>
      </c>
      <c r="C303" t="s">
        <v>811</v>
      </c>
      <c r="D303" t="s">
        <v>67</v>
      </c>
      <c r="E303" t="s">
        <v>24</v>
      </c>
      <c r="F303" t="s">
        <v>68</v>
      </c>
      <c r="G303" t="s">
        <v>633</v>
      </c>
      <c r="H303" t="s">
        <v>407</v>
      </c>
      <c r="I303" s="6">
        <v>7.5</v>
      </c>
      <c r="J303" t="s">
        <v>71</v>
      </c>
      <c r="K303" t="s">
        <v>833</v>
      </c>
    </row>
    <row r="304" spans="1:11">
      <c r="A304" t="s">
        <v>835</v>
      </c>
      <c r="B304" s="5">
        <v>46204</v>
      </c>
      <c r="C304" t="s">
        <v>836</v>
      </c>
      <c r="D304" t="s">
        <v>67</v>
      </c>
      <c r="E304" t="s">
        <v>40</v>
      </c>
      <c r="F304" t="s">
        <v>68</v>
      </c>
      <c r="G304" t="s">
        <v>837</v>
      </c>
      <c r="H304" t="s">
        <v>550</v>
      </c>
      <c r="I304" s="6">
        <v>8.5</v>
      </c>
      <c r="J304" t="s">
        <v>71</v>
      </c>
      <c r="K304" t="s">
        <v>838</v>
      </c>
    </row>
    <row r="305" spans="1:11">
      <c r="A305" t="s">
        <v>839</v>
      </c>
      <c r="B305" s="5">
        <v>46205</v>
      </c>
      <c r="C305" t="s">
        <v>836</v>
      </c>
      <c r="D305" t="s">
        <v>67</v>
      </c>
      <c r="E305" t="s">
        <v>40</v>
      </c>
      <c r="F305" t="s">
        <v>68</v>
      </c>
      <c r="G305" t="s">
        <v>837</v>
      </c>
      <c r="H305" t="s">
        <v>550</v>
      </c>
      <c r="I305" s="6">
        <v>8.5</v>
      </c>
      <c r="J305" t="s">
        <v>71</v>
      </c>
      <c r="K305" t="s">
        <v>838</v>
      </c>
    </row>
    <row r="306" spans="1:11">
      <c r="A306" t="s">
        <v>840</v>
      </c>
      <c r="B306" s="5">
        <v>46209</v>
      </c>
      <c r="C306" t="s">
        <v>836</v>
      </c>
      <c r="D306" t="s">
        <v>67</v>
      </c>
      <c r="E306" t="s">
        <v>40</v>
      </c>
      <c r="F306" t="s">
        <v>68</v>
      </c>
      <c r="G306" t="s">
        <v>74</v>
      </c>
      <c r="H306" t="s">
        <v>75</v>
      </c>
      <c r="I306" s="6">
        <v>11.5</v>
      </c>
      <c r="J306" t="s">
        <v>71</v>
      </c>
      <c r="K306" t="s">
        <v>80</v>
      </c>
    </row>
    <row r="307" spans="1:11">
      <c r="A307" t="s">
        <v>841</v>
      </c>
      <c r="B307" s="5">
        <v>46210</v>
      </c>
      <c r="C307" t="s">
        <v>836</v>
      </c>
      <c r="D307" t="s">
        <v>67</v>
      </c>
      <c r="E307" t="s">
        <v>40</v>
      </c>
      <c r="F307" t="s">
        <v>68</v>
      </c>
      <c r="G307" t="s">
        <v>292</v>
      </c>
      <c r="H307" t="s">
        <v>293</v>
      </c>
      <c r="I307" s="6">
        <v>8.5</v>
      </c>
      <c r="J307" t="s">
        <v>71</v>
      </c>
      <c r="K307" t="s">
        <v>294</v>
      </c>
    </row>
    <row r="308" spans="1:11">
      <c r="A308" t="s">
        <v>842</v>
      </c>
      <c r="B308" s="5">
        <v>46211</v>
      </c>
      <c r="C308" t="s">
        <v>836</v>
      </c>
      <c r="D308" t="s">
        <v>67</v>
      </c>
      <c r="E308" t="s">
        <v>40</v>
      </c>
      <c r="F308" t="s">
        <v>68</v>
      </c>
      <c r="G308" t="s">
        <v>292</v>
      </c>
      <c r="H308" t="s">
        <v>293</v>
      </c>
      <c r="I308" s="6">
        <v>8.5</v>
      </c>
      <c r="J308" t="s">
        <v>71</v>
      </c>
      <c r="K308" t="s">
        <v>294</v>
      </c>
    </row>
    <row r="309" spans="1:11">
      <c r="A309" t="s">
        <v>843</v>
      </c>
      <c r="B309" s="5">
        <v>46212</v>
      </c>
      <c r="C309" t="s">
        <v>836</v>
      </c>
      <c r="D309" t="s">
        <v>67</v>
      </c>
      <c r="E309" t="s">
        <v>40</v>
      </c>
      <c r="F309" t="s">
        <v>68</v>
      </c>
      <c r="G309" t="s">
        <v>74</v>
      </c>
      <c r="H309" t="s">
        <v>75</v>
      </c>
      <c r="I309" s="6">
        <v>9.5</v>
      </c>
      <c r="J309" t="s">
        <v>71</v>
      </c>
      <c r="K309" t="s">
        <v>286</v>
      </c>
    </row>
    <row r="310" spans="1:11">
      <c r="A310" t="s">
        <v>844</v>
      </c>
      <c r="B310" s="5">
        <v>46213</v>
      </c>
      <c r="C310" t="s">
        <v>836</v>
      </c>
      <c r="D310" t="s">
        <v>67</v>
      </c>
      <c r="E310" t="s">
        <v>40</v>
      </c>
      <c r="F310" t="s">
        <v>68</v>
      </c>
      <c r="G310" t="s">
        <v>544</v>
      </c>
      <c r="H310" t="s">
        <v>118</v>
      </c>
      <c r="I310" s="6">
        <v>9</v>
      </c>
      <c r="J310" t="s">
        <v>71</v>
      </c>
      <c r="K310" t="s">
        <v>845</v>
      </c>
    </row>
    <row r="311" spans="1:11">
      <c r="A311" t="s">
        <v>846</v>
      </c>
      <c r="B311" s="5">
        <v>46216</v>
      </c>
      <c r="C311" t="s">
        <v>836</v>
      </c>
      <c r="D311" t="s">
        <v>67</v>
      </c>
      <c r="E311" t="s">
        <v>40</v>
      </c>
      <c r="F311" t="s">
        <v>68</v>
      </c>
      <c r="G311" t="s">
        <v>549</v>
      </c>
      <c r="H311" t="s">
        <v>550</v>
      </c>
      <c r="I311" s="6">
        <v>15</v>
      </c>
      <c r="J311" t="s">
        <v>71</v>
      </c>
      <c r="K311" t="s">
        <v>551</v>
      </c>
    </row>
    <row r="312" spans="1:11">
      <c r="A312" t="s">
        <v>847</v>
      </c>
      <c r="B312" s="5">
        <v>46217</v>
      </c>
      <c r="C312" t="s">
        <v>836</v>
      </c>
      <c r="D312" t="s">
        <v>67</v>
      </c>
      <c r="E312" t="s">
        <v>40</v>
      </c>
      <c r="F312" t="s">
        <v>68</v>
      </c>
      <c r="G312" t="s">
        <v>549</v>
      </c>
      <c r="H312" t="s">
        <v>550</v>
      </c>
      <c r="I312" s="6">
        <v>16.5</v>
      </c>
      <c r="J312" t="s">
        <v>71</v>
      </c>
      <c r="K312" t="s">
        <v>553</v>
      </c>
    </row>
    <row r="313" spans="1:11">
      <c r="A313" t="s">
        <v>848</v>
      </c>
      <c r="B313" s="5">
        <v>46218</v>
      </c>
      <c r="C313" t="s">
        <v>836</v>
      </c>
      <c r="D313" t="s">
        <v>67</v>
      </c>
      <c r="E313" t="s">
        <v>40</v>
      </c>
      <c r="F313" t="s">
        <v>68</v>
      </c>
      <c r="G313" t="s">
        <v>549</v>
      </c>
      <c r="H313" t="s">
        <v>550</v>
      </c>
      <c r="I313" s="6">
        <v>9.5</v>
      </c>
      <c r="J313" t="s">
        <v>71</v>
      </c>
      <c r="K313" t="s">
        <v>555</v>
      </c>
    </row>
    <row r="314" spans="1:11">
      <c r="A314" t="s">
        <v>849</v>
      </c>
      <c r="B314" s="5">
        <v>46204</v>
      </c>
      <c r="C314" t="s">
        <v>850</v>
      </c>
      <c r="D314" t="s">
        <v>67</v>
      </c>
      <c r="E314" t="s">
        <v>9</v>
      </c>
      <c r="F314" t="s">
        <v>179</v>
      </c>
      <c r="G314" t="s">
        <v>851</v>
      </c>
      <c r="H314" t="s">
        <v>852</v>
      </c>
      <c r="I314" s="6">
        <v>11</v>
      </c>
      <c r="J314" t="s">
        <v>95</v>
      </c>
      <c r="K314" t="s">
        <v>853</v>
      </c>
    </row>
    <row r="315" spans="1:11">
      <c r="A315" t="s">
        <v>854</v>
      </c>
      <c r="B315" s="5">
        <v>46206</v>
      </c>
      <c r="C315" t="s">
        <v>850</v>
      </c>
      <c r="D315" t="s">
        <v>67</v>
      </c>
      <c r="E315" t="s">
        <v>9</v>
      </c>
      <c r="F315" t="s">
        <v>179</v>
      </c>
      <c r="G315" t="s">
        <v>188</v>
      </c>
      <c r="H315" t="s">
        <v>189</v>
      </c>
      <c r="I315" s="6">
        <v>9</v>
      </c>
      <c r="J315" t="s">
        <v>71</v>
      </c>
      <c r="K315" t="s">
        <v>792</v>
      </c>
    </row>
    <row r="316" spans="1:11">
      <c r="A316" t="s">
        <v>855</v>
      </c>
      <c r="B316" s="5">
        <v>46210</v>
      </c>
      <c r="C316" t="s">
        <v>850</v>
      </c>
      <c r="D316" t="s">
        <v>67</v>
      </c>
      <c r="E316" t="s">
        <v>9</v>
      </c>
      <c r="F316" t="s">
        <v>179</v>
      </c>
      <c r="G316" t="s">
        <v>856</v>
      </c>
      <c r="H316" t="s">
        <v>857</v>
      </c>
      <c r="I316" s="6">
        <v>8.5</v>
      </c>
      <c r="J316" t="s">
        <v>71</v>
      </c>
      <c r="K316" t="s">
        <v>858</v>
      </c>
    </row>
    <row r="317" spans="1:11">
      <c r="A317" t="s">
        <v>859</v>
      </c>
      <c r="B317" s="5">
        <v>46211</v>
      </c>
      <c r="C317" t="s">
        <v>850</v>
      </c>
      <c r="D317" t="s">
        <v>67</v>
      </c>
      <c r="E317" t="s">
        <v>9</v>
      </c>
      <c r="F317" t="s">
        <v>179</v>
      </c>
      <c r="G317" t="s">
        <v>509</v>
      </c>
      <c r="H317" t="s">
        <v>510</v>
      </c>
      <c r="I317" s="6">
        <v>8</v>
      </c>
      <c r="J317" t="s">
        <v>71</v>
      </c>
      <c r="K317" t="s">
        <v>860</v>
      </c>
    </row>
    <row r="318" spans="1:11">
      <c r="A318" t="s">
        <v>861</v>
      </c>
      <c r="B318" s="5">
        <v>46212</v>
      </c>
      <c r="C318" t="s">
        <v>850</v>
      </c>
      <c r="D318" t="s">
        <v>67</v>
      </c>
      <c r="E318" t="s">
        <v>9</v>
      </c>
      <c r="F318" t="s">
        <v>179</v>
      </c>
      <c r="G318" t="s">
        <v>509</v>
      </c>
      <c r="H318" t="s">
        <v>510</v>
      </c>
      <c r="I318" s="6">
        <v>10.75</v>
      </c>
      <c r="J318" t="s">
        <v>71</v>
      </c>
      <c r="K318" t="s">
        <v>802</v>
      </c>
    </row>
    <row r="319" spans="1:11">
      <c r="A319" t="s">
        <v>862</v>
      </c>
      <c r="B319" s="5">
        <v>46213</v>
      </c>
      <c r="C319" t="s">
        <v>850</v>
      </c>
      <c r="D319" t="s">
        <v>67</v>
      </c>
      <c r="E319" t="s">
        <v>9</v>
      </c>
      <c r="F319" t="s">
        <v>179</v>
      </c>
      <c r="G319" t="s">
        <v>509</v>
      </c>
      <c r="H319" t="s">
        <v>510</v>
      </c>
      <c r="I319" s="6">
        <v>11.5</v>
      </c>
      <c r="J319" t="s">
        <v>71</v>
      </c>
      <c r="K319" t="s">
        <v>863</v>
      </c>
    </row>
    <row r="320" spans="1:11">
      <c r="A320" t="s">
        <v>864</v>
      </c>
      <c r="B320" s="5">
        <v>46216</v>
      </c>
      <c r="C320" t="s">
        <v>850</v>
      </c>
      <c r="D320" t="s">
        <v>67</v>
      </c>
      <c r="E320" t="s">
        <v>9</v>
      </c>
      <c r="F320" t="s">
        <v>179</v>
      </c>
      <c r="G320" t="s">
        <v>509</v>
      </c>
      <c r="H320" t="s">
        <v>510</v>
      </c>
      <c r="I320" s="6">
        <v>6.5</v>
      </c>
      <c r="J320" t="s">
        <v>71</v>
      </c>
      <c r="K320" t="s">
        <v>806</v>
      </c>
    </row>
    <row r="321" spans="1:11">
      <c r="A321" t="s">
        <v>865</v>
      </c>
      <c r="B321" s="5">
        <v>46217</v>
      </c>
      <c r="C321" t="s">
        <v>850</v>
      </c>
      <c r="D321" t="s">
        <v>67</v>
      </c>
      <c r="E321" t="s">
        <v>9</v>
      </c>
      <c r="F321" t="s">
        <v>179</v>
      </c>
      <c r="G321" t="s">
        <v>509</v>
      </c>
      <c r="H321" t="s">
        <v>510</v>
      </c>
      <c r="I321" s="6">
        <v>8.5</v>
      </c>
      <c r="J321" t="s">
        <v>71</v>
      </c>
      <c r="K321" t="s">
        <v>808</v>
      </c>
    </row>
    <row r="322" spans="1:11">
      <c r="A322" t="s">
        <v>866</v>
      </c>
      <c r="B322" s="5">
        <v>46218</v>
      </c>
      <c r="C322" t="s">
        <v>850</v>
      </c>
      <c r="D322" t="s">
        <v>67</v>
      </c>
      <c r="E322" t="s">
        <v>9</v>
      </c>
      <c r="F322" t="s">
        <v>179</v>
      </c>
      <c r="G322" t="s">
        <v>509</v>
      </c>
      <c r="H322" t="s">
        <v>510</v>
      </c>
      <c r="I322" s="6">
        <v>6.5</v>
      </c>
      <c r="J322" t="s">
        <v>71</v>
      </c>
      <c r="K322" t="s">
        <v>806</v>
      </c>
    </row>
    <row r="323" spans="1:11">
      <c r="A323" t="s">
        <v>867</v>
      </c>
      <c r="B323" s="5">
        <v>46204</v>
      </c>
      <c r="C323" t="s">
        <v>868</v>
      </c>
      <c r="D323" t="s">
        <v>67</v>
      </c>
      <c r="E323" t="s">
        <v>40</v>
      </c>
      <c r="F323" t="s">
        <v>68</v>
      </c>
      <c r="G323" t="s">
        <v>74</v>
      </c>
      <c r="H323" t="s">
        <v>75</v>
      </c>
      <c r="I323" s="6">
        <v>9.5</v>
      </c>
      <c r="J323" t="s">
        <v>71</v>
      </c>
      <c r="K323" t="s">
        <v>286</v>
      </c>
    </row>
    <row r="324" spans="1:11">
      <c r="A324" t="s">
        <v>869</v>
      </c>
      <c r="B324" s="5">
        <v>46205</v>
      </c>
      <c r="C324" t="s">
        <v>868</v>
      </c>
      <c r="D324" t="s">
        <v>67</v>
      </c>
      <c r="E324" t="s">
        <v>40</v>
      </c>
      <c r="F324" t="s">
        <v>82</v>
      </c>
      <c r="G324" t="s">
        <v>74</v>
      </c>
      <c r="H324" t="s">
        <v>75</v>
      </c>
      <c r="I324" s="6">
        <v>5.5</v>
      </c>
      <c r="J324" t="s">
        <v>71</v>
      </c>
      <c r="K324" t="s">
        <v>870</v>
      </c>
    </row>
    <row r="325" spans="1:11">
      <c r="A325" t="s">
        <v>871</v>
      </c>
      <c r="B325" s="5">
        <v>46206</v>
      </c>
      <c r="C325" t="s">
        <v>868</v>
      </c>
      <c r="D325" t="s">
        <v>67</v>
      </c>
      <c r="E325" t="s">
        <v>40</v>
      </c>
      <c r="F325" t="s">
        <v>82</v>
      </c>
      <c r="G325" t="s">
        <v>74</v>
      </c>
      <c r="H325" t="s">
        <v>75</v>
      </c>
      <c r="I325" s="6">
        <v>8.5</v>
      </c>
      <c r="J325" t="s">
        <v>71</v>
      </c>
      <c r="K325" t="s">
        <v>872</v>
      </c>
    </row>
    <row r="326" spans="1:11">
      <c r="A326" t="s">
        <v>873</v>
      </c>
      <c r="B326" s="5">
        <v>46209</v>
      </c>
      <c r="C326" t="s">
        <v>868</v>
      </c>
      <c r="D326" t="s">
        <v>67</v>
      </c>
      <c r="E326" t="s">
        <v>40</v>
      </c>
      <c r="F326" t="s">
        <v>82</v>
      </c>
      <c r="G326" t="s">
        <v>74</v>
      </c>
      <c r="H326" t="s">
        <v>75</v>
      </c>
      <c r="I326" s="6">
        <v>11.5</v>
      </c>
      <c r="J326" t="s">
        <v>71</v>
      </c>
      <c r="K326" t="s">
        <v>874</v>
      </c>
    </row>
    <row r="327" spans="1:11">
      <c r="A327" t="s">
        <v>875</v>
      </c>
      <c r="B327" s="5">
        <v>46210</v>
      </c>
      <c r="C327" t="s">
        <v>868</v>
      </c>
      <c r="D327" t="s">
        <v>67</v>
      </c>
      <c r="E327" t="s">
        <v>40</v>
      </c>
      <c r="F327" t="s">
        <v>82</v>
      </c>
      <c r="G327" t="s">
        <v>74</v>
      </c>
      <c r="H327" t="s">
        <v>75</v>
      </c>
      <c r="I327" s="6">
        <v>10</v>
      </c>
      <c r="J327" t="s">
        <v>71</v>
      </c>
      <c r="K327" t="s">
        <v>876</v>
      </c>
    </row>
    <row r="328" spans="1:11">
      <c r="A328" t="s">
        <v>877</v>
      </c>
      <c r="B328" s="5">
        <v>46211</v>
      </c>
      <c r="C328" t="s">
        <v>868</v>
      </c>
      <c r="D328" t="s">
        <v>67</v>
      </c>
      <c r="E328" t="s">
        <v>40</v>
      </c>
      <c r="F328" t="s">
        <v>68</v>
      </c>
      <c r="G328" t="s">
        <v>74</v>
      </c>
      <c r="H328" t="s">
        <v>75</v>
      </c>
      <c r="I328" s="6">
        <v>10</v>
      </c>
      <c r="J328" t="s">
        <v>71</v>
      </c>
      <c r="K328" t="s">
        <v>878</v>
      </c>
    </row>
    <row r="329" spans="1:11">
      <c r="A329" t="s">
        <v>879</v>
      </c>
      <c r="B329" s="5">
        <v>46212</v>
      </c>
      <c r="C329" t="s">
        <v>868</v>
      </c>
      <c r="D329" t="s">
        <v>67</v>
      </c>
      <c r="E329" t="s">
        <v>40</v>
      </c>
      <c r="F329" t="s">
        <v>82</v>
      </c>
      <c r="G329" t="s">
        <v>231</v>
      </c>
      <c r="H329" t="s">
        <v>232</v>
      </c>
      <c r="I329" s="6">
        <v>10.5</v>
      </c>
      <c r="J329" t="s">
        <v>71</v>
      </c>
      <c r="K329" t="s">
        <v>880</v>
      </c>
    </row>
    <row r="330" spans="1:11">
      <c r="A330" t="s">
        <v>881</v>
      </c>
      <c r="B330" s="5">
        <v>46213</v>
      </c>
      <c r="C330" t="s">
        <v>868</v>
      </c>
      <c r="D330" t="s">
        <v>67</v>
      </c>
      <c r="E330" t="s">
        <v>40</v>
      </c>
      <c r="F330" t="s">
        <v>82</v>
      </c>
      <c r="G330" t="s">
        <v>292</v>
      </c>
      <c r="H330" t="s">
        <v>293</v>
      </c>
      <c r="I330" s="6">
        <v>10</v>
      </c>
      <c r="J330" t="s">
        <v>71</v>
      </c>
      <c r="K330" t="s">
        <v>882</v>
      </c>
    </row>
    <row r="331" spans="1:11">
      <c r="A331" t="s">
        <v>883</v>
      </c>
      <c r="B331" s="5">
        <v>46216</v>
      </c>
      <c r="C331" t="s">
        <v>868</v>
      </c>
      <c r="D331" t="s">
        <v>67</v>
      </c>
      <c r="E331" t="s">
        <v>40</v>
      </c>
      <c r="F331" t="s">
        <v>82</v>
      </c>
      <c r="G331" t="s">
        <v>549</v>
      </c>
      <c r="H331" t="s">
        <v>550</v>
      </c>
      <c r="I331" s="6">
        <v>5.5</v>
      </c>
      <c r="J331" t="s">
        <v>71</v>
      </c>
      <c r="K331" t="s">
        <v>884</v>
      </c>
    </row>
    <row r="332" spans="1:11">
      <c r="A332" t="s">
        <v>885</v>
      </c>
      <c r="B332" s="5">
        <v>46217</v>
      </c>
      <c r="C332" t="s">
        <v>868</v>
      </c>
      <c r="D332" t="s">
        <v>67</v>
      </c>
      <c r="E332" t="s">
        <v>40</v>
      </c>
      <c r="F332" t="s">
        <v>82</v>
      </c>
      <c r="G332" t="s">
        <v>549</v>
      </c>
      <c r="H332" t="s">
        <v>550</v>
      </c>
      <c r="I332" s="6">
        <v>7</v>
      </c>
      <c r="J332" t="s">
        <v>71</v>
      </c>
      <c r="K332" t="s">
        <v>886</v>
      </c>
    </row>
    <row r="333" spans="1:11">
      <c r="A333" t="s">
        <v>887</v>
      </c>
      <c r="B333" s="5">
        <v>46218</v>
      </c>
      <c r="C333" t="s">
        <v>868</v>
      </c>
      <c r="D333" t="s">
        <v>67</v>
      </c>
      <c r="E333" t="s">
        <v>40</v>
      </c>
      <c r="F333" t="s">
        <v>82</v>
      </c>
      <c r="G333" t="s">
        <v>601</v>
      </c>
      <c r="H333" t="s">
        <v>146</v>
      </c>
      <c r="I333" s="6">
        <v>8.5</v>
      </c>
      <c r="J333" t="s">
        <v>71</v>
      </c>
      <c r="K333" t="s">
        <v>602</v>
      </c>
    </row>
    <row r="334" spans="1:11">
      <c r="A334" t="s">
        <v>888</v>
      </c>
      <c r="B334" s="5">
        <v>46204</v>
      </c>
      <c r="C334" t="s">
        <v>889</v>
      </c>
      <c r="D334" t="s">
        <v>67</v>
      </c>
      <c r="E334" t="s">
        <v>24</v>
      </c>
      <c r="F334" t="s">
        <v>179</v>
      </c>
      <c r="G334" t="s">
        <v>890</v>
      </c>
      <c r="H334" t="s">
        <v>891</v>
      </c>
      <c r="I334" s="6">
        <v>8</v>
      </c>
      <c r="J334" t="s">
        <v>71</v>
      </c>
      <c r="K334" t="s">
        <v>892</v>
      </c>
    </row>
    <row r="335" spans="1:11">
      <c r="A335" t="s">
        <v>893</v>
      </c>
      <c r="B335" s="5">
        <v>46205</v>
      </c>
      <c r="C335" t="s">
        <v>889</v>
      </c>
      <c r="D335" t="s">
        <v>67</v>
      </c>
      <c r="E335" t="s">
        <v>24</v>
      </c>
      <c r="F335" t="s">
        <v>179</v>
      </c>
      <c r="G335" t="s">
        <v>378</v>
      </c>
      <c r="H335" t="s">
        <v>379</v>
      </c>
      <c r="I335" s="6">
        <v>10.5</v>
      </c>
      <c r="J335" t="s">
        <v>71</v>
      </c>
      <c r="K335" t="s">
        <v>380</v>
      </c>
    </row>
    <row r="336" spans="1:11">
      <c r="A336" t="s">
        <v>894</v>
      </c>
      <c r="B336" s="5">
        <v>46206</v>
      </c>
      <c r="C336" t="s">
        <v>889</v>
      </c>
      <c r="D336" t="s">
        <v>67</v>
      </c>
      <c r="E336" t="s">
        <v>24</v>
      </c>
      <c r="F336" t="s">
        <v>179</v>
      </c>
      <c r="G336" t="s">
        <v>378</v>
      </c>
      <c r="H336" t="s">
        <v>379</v>
      </c>
      <c r="I336" s="6">
        <v>9</v>
      </c>
      <c r="J336" t="s">
        <v>71</v>
      </c>
      <c r="K336" t="s">
        <v>382</v>
      </c>
    </row>
    <row r="337" spans="1:11">
      <c r="A337" t="s">
        <v>895</v>
      </c>
      <c r="B337" s="5">
        <v>46209</v>
      </c>
      <c r="C337" t="s">
        <v>889</v>
      </c>
      <c r="D337" t="s">
        <v>67</v>
      </c>
      <c r="E337" t="s">
        <v>24</v>
      </c>
      <c r="F337" t="s">
        <v>179</v>
      </c>
      <c r="G337" t="s">
        <v>823</v>
      </c>
      <c r="H337" t="s">
        <v>399</v>
      </c>
      <c r="I337" s="6">
        <v>9</v>
      </c>
      <c r="J337" t="s">
        <v>71</v>
      </c>
      <c r="K337" t="s">
        <v>824</v>
      </c>
    </row>
    <row r="338" spans="1:11">
      <c r="A338" t="s">
        <v>896</v>
      </c>
      <c r="B338" s="5">
        <v>46210</v>
      </c>
      <c r="C338" t="s">
        <v>889</v>
      </c>
      <c r="D338" t="s">
        <v>67</v>
      </c>
      <c r="E338" t="s">
        <v>24</v>
      </c>
      <c r="F338" t="s">
        <v>179</v>
      </c>
      <c r="G338" t="s">
        <v>823</v>
      </c>
      <c r="H338" t="s">
        <v>399</v>
      </c>
      <c r="I338" s="6">
        <v>7.5</v>
      </c>
      <c r="J338" t="s">
        <v>71</v>
      </c>
      <c r="K338" t="s">
        <v>897</v>
      </c>
    </row>
    <row r="339" spans="1:11">
      <c r="A339" t="s">
        <v>898</v>
      </c>
      <c r="B339" s="5">
        <v>46211</v>
      </c>
      <c r="C339" t="s">
        <v>889</v>
      </c>
      <c r="D339" t="s">
        <v>67</v>
      </c>
      <c r="E339" t="s">
        <v>24</v>
      </c>
      <c r="F339" t="s">
        <v>179</v>
      </c>
      <c r="G339" t="s">
        <v>633</v>
      </c>
      <c r="H339" t="s">
        <v>407</v>
      </c>
      <c r="I339" s="6">
        <v>6</v>
      </c>
      <c r="J339" t="s">
        <v>71</v>
      </c>
      <c r="K339" t="s">
        <v>899</v>
      </c>
    </row>
    <row r="340" spans="1:11">
      <c r="A340" t="s">
        <v>900</v>
      </c>
      <c r="B340" s="5">
        <v>46212</v>
      </c>
      <c r="C340" t="s">
        <v>889</v>
      </c>
      <c r="D340" t="s">
        <v>67</v>
      </c>
      <c r="E340" t="s">
        <v>24</v>
      </c>
      <c r="F340" t="s">
        <v>179</v>
      </c>
      <c r="G340" t="s">
        <v>633</v>
      </c>
      <c r="H340" t="s">
        <v>407</v>
      </c>
      <c r="I340" s="6">
        <v>8</v>
      </c>
      <c r="J340" t="s">
        <v>71</v>
      </c>
      <c r="K340" t="s">
        <v>901</v>
      </c>
    </row>
    <row r="341" spans="1:11">
      <c r="A341" t="s">
        <v>902</v>
      </c>
      <c r="B341" s="5">
        <v>46213</v>
      </c>
      <c r="C341" t="s">
        <v>889</v>
      </c>
      <c r="D341" t="s">
        <v>67</v>
      </c>
      <c r="E341" t="s">
        <v>24</v>
      </c>
      <c r="F341" t="s">
        <v>179</v>
      </c>
      <c r="G341" t="s">
        <v>633</v>
      </c>
      <c r="H341" t="s">
        <v>407</v>
      </c>
      <c r="I341" s="6">
        <v>6</v>
      </c>
      <c r="J341" t="s">
        <v>71</v>
      </c>
      <c r="K341" t="s">
        <v>899</v>
      </c>
    </row>
    <row r="342" spans="1:11">
      <c r="A342" t="s">
        <v>903</v>
      </c>
      <c r="B342" s="5">
        <v>46216</v>
      </c>
      <c r="C342" t="s">
        <v>889</v>
      </c>
      <c r="D342" t="s">
        <v>67</v>
      </c>
      <c r="E342" t="s">
        <v>24</v>
      </c>
      <c r="F342" t="s">
        <v>68</v>
      </c>
      <c r="G342" t="s">
        <v>627</v>
      </c>
      <c r="H342" t="s">
        <v>628</v>
      </c>
      <c r="I342" s="6">
        <v>5</v>
      </c>
      <c r="J342" t="s">
        <v>71</v>
      </c>
      <c r="K342" t="s">
        <v>904</v>
      </c>
    </row>
    <row r="343" spans="1:11">
      <c r="A343" t="s">
        <v>905</v>
      </c>
      <c r="B343" s="5">
        <v>46217</v>
      </c>
      <c r="C343" t="s">
        <v>889</v>
      </c>
      <c r="D343" t="s">
        <v>67</v>
      </c>
      <c r="E343" t="s">
        <v>17</v>
      </c>
      <c r="F343" t="s">
        <v>179</v>
      </c>
      <c r="G343" t="s">
        <v>402</v>
      </c>
      <c r="H343" t="s">
        <v>403</v>
      </c>
      <c r="I343" s="6">
        <v>4.5</v>
      </c>
      <c r="J343" t="s">
        <v>71</v>
      </c>
      <c r="K343" t="s">
        <v>906</v>
      </c>
    </row>
    <row r="344" spans="1:11">
      <c r="A344" t="s">
        <v>907</v>
      </c>
      <c r="B344" s="5">
        <v>46218</v>
      </c>
      <c r="C344" t="s">
        <v>889</v>
      </c>
      <c r="D344" t="s">
        <v>67</v>
      </c>
      <c r="E344" t="s">
        <v>17</v>
      </c>
      <c r="F344" t="s">
        <v>179</v>
      </c>
      <c r="G344" t="s">
        <v>402</v>
      </c>
      <c r="H344" t="s">
        <v>403</v>
      </c>
      <c r="I344" s="6">
        <v>4</v>
      </c>
      <c r="J344" t="s">
        <v>71</v>
      </c>
      <c r="K344" t="s">
        <v>908</v>
      </c>
    </row>
    <row r="345" spans="1:11">
      <c r="A345" t="s">
        <v>909</v>
      </c>
      <c r="B345" s="5">
        <v>46205</v>
      </c>
      <c r="C345" t="s">
        <v>910</v>
      </c>
      <c r="D345" t="s">
        <v>67</v>
      </c>
      <c r="E345" t="s">
        <v>40</v>
      </c>
      <c r="F345" t="s">
        <v>179</v>
      </c>
      <c r="G345" t="s">
        <v>911</v>
      </c>
      <c r="H345" t="s">
        <v>912</v>
      </c>
      <c r="I345" s="6">
        <v>3.5</v>
      </c>
      <c r="J345" t="s">
        <v>71</v>
      </c>
      <c r="K345" t="s">
        <v>913</v>
      </c>
    </row>
    <row r="346" spans="1:11">
      <c r="A346" t="s">
        <v>914</v>
      </c>
      <c r="B346" s="5">
        <v>46213</v>
      </c>
      <c r="C346" t="s">
        <v>910</v>
      </c>
      <c r="D346" t="s">
        <v>67</v>
      </c>
      <c r="E346" t="s">
        <v>40</v>
      </c>
      <c r="F346" t="s">
        <v>179</v>
      </c>
      <c r="G346" t="s">
        <v>915</v>
      </c>
      <c r="H346" t="s">
        <v>916</v>
      </c>
      <c r="I346" s="6">
        <v>6</v>
      </c>
      <c r="J346" t="s">
        <v>71</v>
      </c>
      <c r="K346" t="s">
        <v>917</v>
      </c>
    </row>
    <row r="347" spans="1:11">
      <c r="A347" t="s">
        <v>918</v>
      </c>
      <c r="B347" s="5">
        <v>46218</v>
      </c>
      <c r="C347" t="s">
        <v>910</v>
      </c>
      <c r="D347" t="s">
        <v>67</v>
      </c>
      <c r="E347" t="s">
        <v>40</v>
      </c>
      <c r="F347" t="s">
        <v>179</v>
      </c>
      <c r="G347" t="s">
        <v>601</v>
      </c>
      <c r="H347" t="s">
        <v>146</v>
      </c>
      <c r="I347" s="6">
        <v>4</v>
      </c>
      <c r="J347" t="s">
        <v>71</v>
      </c>
      <c r="K347" t="s">
        <v>919</v>
      </c>
    </row>
    <row r="348" spans="1:11">
      <c r="A348" t="s">
        <v>920</v>
      </c>
      <c r="B348" s="5">
        <v>46204</v>
      </c>
      <c r="C348" t="s">
        <v>921</v>
      </c>
      <c r="D348" t="s">
        <v>67</v>
      </c>
      <c r="E348" t="s">
        <v>9</v>
      </c>
      <c r="F348" t="s">
        <v>922</v>
      </c>
      <c r="G348" t="s">
        <v>184</v>
      </c>
      <c r="H348" t="s">
        <v>185</v>
      </c>
      <c r="I348" s="6">
        <v>2</v>
      </c>
      <c r="J348" t="s">
        <v>71</v>
      </c>
      <c r="K348" t="s">
        <v>923</v>
      </c>
    </row>
    <row r="349" spans="1:11">
      <c r="A349" t="s">
        <v>924</v>
      </c>
      <c r="B349" s="5">
        <v>46204</v>
      </c>
      <c r="C349" t="s">
        <v>925</v>
      </c>
      <c r="D349" t="s">
        <v>67</v>
      </c>
      <c r="E349" t="s">
        <v>9</v>
      </c>
      <c r="F349" t="s">
        <v>179</v>
      </c>
      <c r="G349" t="s">
        <v>926</v>
      </c>
      <c r="H349" t="s">
        <v>927</v>
      </c>
      <c r="I349" s="6">
        <v>9</v>
      </c>
      <c r="J349" t="s">
        <v>71</v>
      </c>
      <c r="K349" t="s">
        <v>928</v>
      </c>
    </row>
    <row r="350" spans="1:11">
      <c r="A350" t="s">
        <v>929</v>
      </c>
      <c r="B350" s="5">
        <v>46205</v>
      </c>
      <c r="C350" t="s">
        <v>925</v>
      </c>
      <c r="D350" t="s">
        <v>67</v>
      </c>
      <c r="E350" t="s">
        <v>9</v>
      </c>
      <c r="F350" t="s">
        <v>179</v>
      </c>
      <c r="G350" t="s">
        <v>930</v>
      </c>
      <c r="H350" t="s">
        <v>931</v>
      </c>
      <c r="I350" s="6">
        <v>9</v>
      </c>
      <c r="J350" t="s">
        <v>71</v>
      </c>
      <c r="K350" t="s">
        <v>932</v>
      </c>
    </row>
    <row r="351" spans="1:11">
      <c r="A351" t="s">
        <v>933</v>
      </c>
      <c r="B351" s="5">
        <v>46206</v>
      </c>
      <c r="C351" t="s">
        <v>925</v>
      </c>
      <c r="D351" t="s">
        <v>67</v>
      </c>
      <c r="E351" t="s">
        <v>9</v>
      </c>
      <c r="F351" t="s">
        <v>82</v>
      </c>
      <c r="G351" t="s">
        <v>856</v>
      </c>
      <c r="H351" t="s">
        <v>857</v>
      </c>
      <c r="I351" s="6">
        <v>9</v>
      </c>
      <c r="J351" t="s">
        <v>71</v>
      </c>
      <c r="K351" t="s">
        <v>934</v>
      </c>
    </row>
    <row r="352" spans="1:11">
      <c r="A352" t="s">
        <v>935</v>
      </c>
      <c r="B352" s="5">
        <v>46209</v>
      </c>
      <c r="C352" t="s">
        <v>925</v>
      </c>
      <c r="D352" t="s">
        <v>67</v>
      </c>
      <c r="E352" t="s">
        <v>9</v>
      </c>
      <c r="F352" t="s">
        <v>179</v>
      </c>
      <c r="G352" t="s">
        <v>926</v>
      </c>
      <c r="H352" t="s">
        <v>927</v>
      </c>
      <c r="I352" s="6">
        <v>9.25</v>
      </c>
      <c r="J352" t="s">
        <v>71</v>
      </c>
      <c r="K352" t="s">
        <v>936</v>
      </c>
    </row>
    <row r="353" spans="1:11">
      <c r="A353" t="s">
        <v>937</v>
      </c>
      <c r="B353" s="5">
        <v>46210</v>
      </c>
      <c r="C353" t="s">
        <v>925</v>
      </c>
      <c r="D353" t="s">
        <v>67</v>
      </c>
      <c r="E353" t="s">
        <v>9</v>
      </c>
      <c r="F353" t="s">
        <v>82</v>
      </c>
      <c r="G353" t="s">
        <v>509</v>
      </c>
      <c r="H353" t="s">
        <v>510</v>
      </c>
      <c r="I353" s="6">
        <v>9.5</v>
      </c>
      <c r="J353" t="s">
        <v>71</v>
      </c>
      <c r="K353" t="s">
        <v>513</v>
      </c>
    </row>
    <row r="354" spans="1:11">
      <c r="A354" t="s">
        <v>938</v>
      </c>
      <c r="B354" s="5">
        <v>46204</v>
      </c>
      <c r="C354" t="s">
        <v>939</v>
      </c>
      <c r="D354" t="s">
        <v>67</v>
      </c>
      <c r="E354" t="s">
        <v>9</v>
      </c>
      <c r="F354" t="s">
        <v>82</v>
      </c>
      <c r="G354" t="s">
        <v>940</v>
      </c>
      <c r="H354" t="s">
        <v>941</v>
      </c>
      <c r="I354" s="6">
        <v>8</v>
      </c>
      <c r="J354" t="s">
        <v>71</v>
      </c>
      <c r="K354" t="s">
        <v>942</v>
      </c>
    </row>
    <row r="355" spans="1:11">
      <c r="A355" t="s">
        <v>943</v>
      </c>
      <c r="B355" s="5">
        <v>46205</v>
      </c>
      <c r="C355" t="s">
        <v>939</v>
      </c>
      <c r="D355" t="s">
        <v>67</v>
      </c>
      <c r="E355" t="s">
        <v>9</v>
      </c>
      <c r="F355" t="s">
        <v>179</v>
      </c>
      <c r="G355" t="s">
        <v>944</v>
      </c>
      <c r="H355" t="s">
        <v>945</v>
      </c>
      <c r="I355" s="6">
        <v>8</v>
      </c>
      <c r="J355" t="s">
        <v>71</v>
      </c>
      <c r="K355" t="s">
        <v>946</v>
      </c>
    </row>
    <row r="356" spans="1:11">
      <c r="A356" t="s">
        <v>947</v>
      </c>
      <c r="B356" s="5">
        <v>46206</v>
      </c>
      <c r="C356" t="s">
        <v>939</v>
      </c>
      <c r="D356" t="s">
        <v>67</v>
      </c>
      <c r="E356" t="s">
        <v>9</v>
      </c>
      <c r="F356" t="s">
        <v>179</v>
      </c>
      <c r="G356" t="s">
        <v>275</v>
      </c>
      <c r="H356" t="s">
        <v>276</v>
      </c>
      <c r="I356" s="6">
        <v>8.5</v>
      </c>
      <c r="J356" t="s">
        <v>71</v>
      </c>
      <c r="K356" t="s">
        <v>948</v>
      </c>
    </row>
    <row r="357" spans="1:11">
      <c r="A357" t="s">
        <v>949</v>
      </c>
      <c r="B357" s="5">
        <v>46209</v>
      </c>
      <c r="C357" t="s">
        <v>939</v>
      </c>
      <c r="D357" t="s">
        <v>67</v>
      </c>
      <c r="E357" t="s">
        <v>9</v>
      </c>
      <c r="F357" t="s">
        <v>82</v>
      </c>
      <c r="G357" t="s">
        <v>950</v>
      </c>
      <c r="H357" t="s">
        <v>216</v>
      </c>
      <c r="I357" s="6">
        <v>8.25</v>
      </c>
      <c r="J357" t="s">
        <v>71</v>
      </c>
      <c r="K357" t="s">
        <v>951</v>
      </c>
    </row>
    <row r="358" spans="1:11">
      <c r="A358" t="s">
        <v>952</v>
      </c>
      <c r="B358" s="5">
        <v>46210</v>
      </c>
      <c r="C358" t="s">
        <v>939</v>
      </c>
      <c r="D358" t="s">
        <v>67</v>
      </c>
      <c r="E358" t="s">
        <v>9</v>
      </c>
      <c r="F358" t="s">
        <v>179</v>
      </c>
      <c r="G358" t="s">
        <v>944</v>
      </c>
      <c r="H358" t="s">
        <v>945</v>
      </c>
      <c r="I358" s="6">
        <v>8.25</v>
      </c>
      <c r="J358" t="s">
        <v>71</v>
      </c>
      <c r="K358" t="s">
        <v>953</v>
      </c>
    </row>
    <row r="359" spans="1:11">
      <c r="A359" t="s">
        <v>954</v>
      </c>
      <c r="B359" s="5">
        <v>46211</v>
      </c>
      <c r="C359" t="s">
        <v>939</v>
      </c>
      <c r="D359" t="s">
        <v>67</v>
      </c>
      <c r="E359" t="s">
        <v>9</v>
      </c>
      <c r="F359" t="s">
        <v>179</v>
      </c>
      <c r="G359" t="s">
        <v>955</v>
      </c>
      <c r="H359" t="s">
        <v>956</v>
      </c>
      <c r="I359" s="6">
        <v>6.5</v>
      </c>
      <c r="J359" t="s">
        <v>957</v>
      </c>
      <c r="K359" t="s">
        <v>958</v>
      </c>
    </row>
    <row r="360" spans="1:11">
      <c r="A360" t="s">
        <v>959</v>
      </c>
      <c r="B360" s="5">
        <v>46212</v>
      </c>
      <c r="C360" t="s">
        <v>939</v>
      </c>
      <c r="D360" t="s">
        <v>67</v>
      </c>
      <c r="E360" t="s">
        <v>9</v>
      </c>
      <c r="F360" t="s">
        <v>179</v>
      </c>
      <c r="G360" t="s">
        <v>944</v>
      </c>
      <c r="H360" t="s">
        <v>945</v>
      </c>
      <c r="I360" s="6">
        <v>7.5</v>
      </c>
      <c r="J360" t="s">
        <v>71</v>
      </c>
      <c r="K360" t="s">
        <v>960</v>
      </c>
    </row>
    <row r="361" spans="1:11">
      <c r="A361" t="s">
        <v>961</v>
      </c>
      <c r="B361" s="5">
        <v>46213</v>
      </c>
      <c r="C361" t="s">
        <v>939</v>
      </c>
      <c r="D361" t="s">
        <v>67</v>
      </c>
      <c r="E361" t="s">
        <v>9</v>
      </c>
      <c r="F361" t="s">
        <v>179</v>
      </c>
      <c r="G361" t="s">
        <v>962</v>
      </c>
      <c r="H361" t="s">
        <v>963</v>
      </c>
      <c r="I361" s="6">
        <v>4.5</v>
      </c>
      <c r="J361" t="s">
        <v>95</v>
      </c>
      <c r="K361" t="s">
        <v>964</v>
      </c>
    </row>
    <row r="362" spans="1:11">
      <c r="A362" t="s">
        <v>965</v>
      </c>
      <c r="B362" s="5">
        <v>46216</v>
      </c>
      <c r="C362" t="s">
        <v>939</v>
      </c>
      <c r="D362" t="s">
        <v>67</v>
      </c>
      <c r="E362" t="s">
        <v>9</v>
      </c>
      <c r="F362" t="s">
        <v>179</v>
      </c>
      <c r="G362" t="s">
        <v>966</v>
      </c>
      <c r="H362" t="s">
        <v>185</v>
      </c>
      <c r="I362" s="6">
        <v>6.75</v>
      </c>
      <c r="J362" t="s">
        <v>71</v>
      </c>
      <c r="K362" t="s">
        <v>967</v>
      </c>
    </row>
    <row r="363" spans="1:11">
      <c r="A363" t="s">
        <v>968</v>
      </c>
      <c r="B363" s="5">
        <v>46217</v>
      </c>
      <c r="C363" t="s">
        <v>939</v>
      </c>
      <c r="D363" t="s">
        <v>67</v>
      </c>
      <c r="E363" t="s">
        <v>9</v>
      </c>
      <c r="F363" t="s">
        <v>179</v>
      </c>
      <c r="G363" t="s">
        <v>944</v>
      </c>
      <c r="H363" t="s">
        <v>945</v>
      </c>
      <c r="I363" s="6">
        <v>8</v>
      </c>
      <c r="J363" t="s">
        <v>71</v>
      </c>
      <c r="K363" t="s">
        <v>946</v>
      </c>
    </row>
    <row r="364" spans="1:11">
      <c r="A364" t="s">
        <v>969</v>
      </c>
      <c r="B364" s="5">
        <v>46218</v>
      </c>
      <c r="C364" t="s">
        <v>939</v>
      </c>
      <c r="D364" t="s">
        <v>67</v>
      </c>
      <c r="E364" t="s">
        <v>9</v>
      </c>
      <c r="F364" t="s">
        <v>970</v>
      </c>
      <c r="G364" t="s">
        <v>971</v>
      </c>
      <c r="H364" t="s">
        <v>972</v>
      </c>
      <c r="I364" s="6">
        <v>5.75</v>
      </c>
      <c r="J364" t="s">
        <v>95</v>
      </c>
      <c r="K364" t="s">
        <v>973</v>
      </c>
    </row>
    <row r="365" spans="1:11">
      <c r="A365" t="s">
        <v>974</v>
      </c>
      <c r="B365" s="5">
        <v>46204</v>
      </c>
      <c r="C365" t="s">
        <v>975</v>
      </c>
      <c r="D365" t="s">
        <v>67</v>
      </c>
      <c r="E365" t="s">
        <v>15</v>
      </c>
      <c r="F365" t="s">
        <v>82</v>
      </c>
      <c r="G365" t="s">
        <v>976</v>
      </c>
      <c r="H365" t="s">
        <v>977</v>
      </c>
      <c r="I365" s="6">
        <v>8.5</v>
      </c>
      <c r="J365" t="s">
        <v>71</v>
      </c>
      <c r="K365" t="s">
        <v>978</v>
      </c>
    </row>
    <row r="366" spans="1:11">
      <c r="A366" t="s">
        <v>979</v>
      </c>
      <c r="B366" s="5">
        <v>46205</v>
      </c>
      <c r="C366" t="s">
        <v>975</v>
      </c>
      <c r="D366" t="s">
        <v>67</v>
      </c>
      <c r="E366" t="s">
        <v>15</v>
      </c>
      <c r="F366" t="s">
        <v>82</v>
      </c>
      <c r="G366" t="s">
        <v>976</v>
      </c>
      <c r="H366" t="s">
        <v>977</v>
      </c>
      <c r="I366" s="6">
        <v>8</v>
      </c>
      <c r="J366" t="s">
        <v>71</v>
      </c>
      <c r="K366" t="s">
        <v>980</v>
      </c>
    </row>
    <row r="367" spans="1:11">
      <c r="A367" t="s">
        <v>981</v>
      </c>
      <c r="B367" s="5">
        <v>46206</v>
      </c>
      <c r="C367" t="s">
        <v>975</v>
      </c>
      <c r="D367" t="s">
        <v>67</v>
      </c>
      <c r="E367" t="s">
        <v>40</v>
      </c>
      <c r="F367" t="s">
        <v>68</v>
      </c>
      <c r="G367" t="s">
        <v>700</v>
      </c>
      <c r="H367" t="s">
        <v>317</v>
      </c>
      <c r="I367" s="6">
        <v>16</v>
      </c>
      <c r="J367" t="s">
        <v>71</v>
      </c>
      <c r="K367" t="s">
        <v>982</v>
      </c>
    </row>
    <row r="368" spans="1:11">
      <c r="A368" t="s">
        <v>983</v>
      </c>
      <c r="B368" s="5">
        <v>46207</v>
      </c>
      <c r="C368" t="s">
        <v>975</v>
      </c>
      <c r="D368" t="s">
        <v>67</v>
      </c>
      <c r="E368" t="s">
        <v>40</v>
      </c>
      <c r="F368" t="s">
        <v>179</v>
      </c>
      <c r="G368" t="s">
        <v>700</v>
      </c>
      <c r="H368" t="s">
        <v>317</v>
      </c>
      <c r="I368" s="6">
        <v>8</v>
      </c>
      <c r="J368" t="s">
        <v>71</v>
      </c>
      <c r="K368" t="s">
        <v>701</v>
      </c>
    </row>
    <row r="369" spans="1:11">
      <c r="A369" t="s">
        <v>984</v>
      </c>
      <c r="B369" s="5">
        <v>46209</v>
      </c>
      <c r="C369" t="s">
        <v>975</v>
      </c>
      <c r="D369" t="s">
        <v>67</v>
      </c>
      <c r="E369" t="s">
        <v>40</v>
      </c>
      <c r="F369" t="s">
        <v>179</v>
      </c>
      <c r="G369" t="s">
        <v>700</v>
      </c>
      <c r="H369" t="s">
        <v>317</v>
      </c>
      <c r="I369" s="6">
        <v>8</v>
      </c>
      <c r="J369" t="s">
        <v>71</v>
      </c>
      <c r="K369" t="s">
        <v>701</v>
      </c>
    </row>
    <row r="370" spans="1:11">
      <c r="A370" t="s">
        <v>985</v>
      </c>
      <c r="B370" s="5">
        <v>46210</v>
      </c>
      <c r="C370" t="s">
        <v>975</v>
      </c>
      <c r="D370" t="s">
        <v>67</v>
      </c>
      <c r="E370" t="s">
        <v>40</v>
      </c>
      <c r="F370" t="s">
        <v>179</v>
      </c>
      <c r="G370" t="s">
        <v>700</v>
      </c>
      <c r="H370" t="s">
        <v>317</v>
      </c>
      <c r="I370" s="6">
        <v>9</v>
      </c>
      <c r="J370" t="s">
        <v>71</v>
      </c>
      <c r="K370" t="s">
        <v>986</v>
      </c>
    </row>
    <row r="371" spans="1:11">
      <c r="A371" t="s">
        <v>987</v>
      </c>
      <c r="B371" s="5">
        <v>46211</v>
      </c>
      <c r="C371" t="s">
        <v>975</v>
      </c>
      <c r="D371" t="s">
        <v>67</v>
      </c>
      <c r="E371" t="s">
        <v>15</v>
      </c>
      <c r="F371" t="s">
        <v>68</v>
      </c>
      <c r="G371" t="s">
        <v>988</v>
      </c>
      <c r="H371" t="s">
        <v>989</v>
      </c>
      <c r="I371" s="6">
        <v>8</v>
      </c>
      <c r="J371" t="s">
        <v>71</v>
      </c>
      <c r="K371" t="s">
        <v>990</v>
      </c>
    </row>
    <row r="372" spans="1:11">
      <c r="A372" t="s">
        <v>991</v>
      </c>
      <c r="B372" s="5">
        <v>46212</v>
      </c>
      <c r="C372" t="s">
        <v>975</v>
      </c>
      <c r="I372" s="6">
        <v>0</v>
      </c>
      <c r="J372" t="s">
        <v>680</v>
      </c>
      <c r="K372" t="s">
        <v>992</v>
      </c>
    </row>
    <row r="373" spans="1:11">
      <c r="A373" t="s">
        <v>993</v>
      </c>
      <c r="B373" s="5">
        <v>46213</v>
      </c>
      <c r="C373" t="s">
        <v>975</v>
      </c>
      <c r="I373" s="6">
        <v>0</v>
      </c>
      <c r="J373" t="s">
        <v>680</v>
      </c>
      <c r="K373" t="s">
        <v>992</v>
      </c>
    </row>
    <row r="374" spans="1:11">
      <c r="A374" t="s">
        <v>994</v>
      </c>
      <c r="B374" s="5">
        <v>46216</v>
      </c>
      <c r="C374" t="s">
        <v>975</v>
      </c>
      <c r="D374" t="s">
        <v>67</v>
      </c>
      <c r="E374" t="s">
        <v>15</v>
      </c>
      <c r="F374" t="s">
        <v>68</v>
      </c>
      <c r="G374" t="s">
        <v>716</v>
      </c>
      <c r="H374" t="s">
        <v>717</v>
      </c>
      <c r="I374" s="6">
        <v>11</v>
      </c>
      <c r="J374" t="s">
        <v>71</v>
      </c>
      <c r="K374" t="s">
        <v>995</v>
      </c>
    </row>
    <row r="375" spans="1:11">
      <c r="A375" t="s">
        <v>996</v>
      </c>
      <c r="B375" s="5">
        <v>46217</v>
      </c>
      <c r="C375" t="s">
        <v>975</v>
      </c>
      <c r="D375" t="s">
        <v>67</v>
      </c>
      <c r="E375" t="s">
        <v>15</v>
      </c>
      <c r="F375" t="s">
        <v>68</v>
      </c>
      <c r="G375" t="s">
        <v>716</v>
      </c>
      <c r="H375" t="s">
        <v>717</v>
      </c>
      <c r="I375" s="6">
        <v>9.5</v>
      </c>
      <c r="J375" t="s">
        <v>71</v>
      </c>
      <c r="K375" t="s">
        <v>997</v>
      </c>
    </row>
    <row r="376" spans="1:11">
      <c r="A376" t="s">
        <v>998</v>
      </c>
      <c r="B376" s="5">
        <v>46204</v>
      </c>
      <c r="C376" t="s">
        <v>999</v>
      </c>
      <c r="D376" t="s">
        <v>67</v>
      </c>
      <c r="E376" t="s">
        <v>15</v>
      </c>
      <c r="F376" t="s">
        <v>82</v>
      </c>
      <c r="G376" t="s">
        <v>976</v>
      </c>
      <c r="H376" t="s">
        <v>977</v>
      </c>
      <c r="I376" s="6">
        <v>8.5</v>
      </c>
      <c r="J376" t="s">
        <v>71</v>
      </c>
      <c r="K376" t="s">
        <v>978</v>
      </c>
    </row>
    <row r="377" spans="1:11">
      <c r="A377" t="s">
        <v>1000</v>
      </c>
      <c r="B377" s="5">
        <v>46205</v>
      </c>
      <c r="C377" t="s">
        <v>999</v>
      </c>
      <c r="D377" t="s">
        <v>67</v>
      </c>
      <c r="E377" t="s">
        <v>15</v>
      </c>
      <c r="F377" t="s">
        <v>82</v>
      </c>
      <c r="G377" t="s">
        <v>976</v>
      </c>
      <c r="H377" t="s">
        <v>977</v>
      </c>
      <c r="I377" s="6">
        <v>8</v>
      </c>
      <c r="J377" t="s">
        <v>71</v>
      </c>
      <c r="K377" t="s">
        <v>980</v>
      </c>
    </row>
    <row r="378" spans="1:11">
      <c r="A378" t="s">
        <v>1001</v>
      </c>
      <c r="B378" s="5">
        <v>46206</v>
      </c>
      <c r="C378" t="s">
        <v>999</v>
      </c>
      <c r="D378" t="s">
        <v>67</v>
      </c>
      <c r="E378" t="s">
        <v>40</v>
      </c>
      <c r="F378" t="s">
        <v>68</v>
      </c>
      <c r="G378" t="s">
        <v>700</v>
      </c>
      <c r="H378" t="s">
        <v>317</v>
      </c>
      <c r="I378" s="6">
        <v>16</v>
      </c>
      <c r="J378" t="s">
        <v>71</v>
      </c>
      <c r="K378" t="s">
        <v>982</v>
      </c>
    </row>
    <row r="379" spans="1:11">
      <c r="A379" t="s">
        <v>1002</v>
      </c>
      <c r="B379" s="5">
        <v>46207</v>
      </c>
      <c r="C379" t="s">
        <v>999</v>
      </c>
      <c r="D379" t="s">
        <v>67</v>
      </c>
      <c r="E379" t="s">
        <v>40</v>
      </c>
      <c r="F379" t="s">
        <v>179</v>
      </c>
      <c r="G379" t="s">
        <v>700</v>
      </c>
      <c r="H379" t="s">
        <v>317</v>
      </c>
      <c r="I379" s="6">
        <v>8</v>
      </c>
      <c r="J379" t="s">
        <v>71</v>
      </c>
      <c r="K379" t="s">
        <v>701</v>
      </c>
    </row>
    <row r="380" spans="1:11">
      <c r="A380" t="s">
        <v>1003</v>
      </c>
      <c r="B380" s="5">
        <v>46209</v>
      </c>
      <c r="C380" t="s">
        <v>999</v>
      </c>
      <c r="D380" t="s">
        <v>67</v>
      </c>
      <c r="E380" t="s">
        <v>40</v>
      </c>
      <c r="F380" t="s">
        <v>179</v>
      </c>
      <c r="G380" t="s">
        <v>700</v>
      </c>
      <c r="H380" t="s">
        <v>317</v>
      </c>
      <c r="I380" s="6">
        <v>8</v>
      </c>
      <c r="J380" t="s">
        <v>71</v>
      </c>
      <c r="K380" t="s">
        <v>701</v>
      </c>
    </row>
    <row r="381" spans="1:11">
      <c r="A381" t="s">
        <v>1004</v>
      </c>
      <c r="B381" s="5">
        <v>46210</v>
      </c>
      <c r="C381" t="s">
        <v>999</v>
      </c>
      <c r="D381" t="s">
        <v>67</v>
      </c>
      <c r="E381" t="s">
        <v>17</v>
      </c>
      <c r="F381" t="s">
        <v>82</v>
      </c>
      <c r="G381" t="s">
        <v>1005</v>
      </c>
      <c r="H381" t="s">
        <v>1006</v>
      </c>
      <c r="I381" s="6">
        <v>6</v>
      </c>
      <c r="J381" t="s">
        <v>71</v>
      </c>
      <c r="K381" t="s">
        <v>1007</v>
      </c>
    </row>
    <row r="382" spans="1:11">
      <c r="A382" t="s">
        <v>1008</v>
      </c>
      <c r="B382" s="5">
        <v>46212</v>
      </c>
      <c r="C382" t="s">
        <v>999</v>
      </c>
      <c r="D382" t="s">
        <v>67</v>
      </c>
      <c r="E382" t="s">
        <v>15</v>
      </c>
      <c r="F382" t="s">
        <v>82</v>
      </c>
      <c r="G382" t="s">
        <v>708</v>
      </c>
      <c r="H382" t="s">
        <v>709</v>
      </c>
      <c r="I382" s="6">
        <v>9.5</v>
      </c>
      <c r="J382" t="s">
        <v>71</v>
      </c>
      <c r="K382" t="s">
        <v>1009</v>
      </c>
    </row>
    <row r="383" spans="1:11">
      <c r="A383" t="s">
        <v>1010</v>
      </c>
      <c r="B383" s="5">
        <v>46216</v>
      </c>
      <c r="C383" t="s">
        <v>999</v>
      </c>
      <c r="D383" t="s">
        <v>67</v>
      </c>
      <c r="E383" t="s">
        <v>15</v>
      </c>
      <c r="F383" t="s">
        <v>82</v>
      </c>
      <c r="G383" t="s">
        <v>1011</v>
      </c>
      <c r="H383" t="s">
        <v>1012</v>
      </c>
      <c r="I383" s="6">
        <v>11.5</v>
      </c>
      <c r="J383" t="s">
        <v>71</v>
      </c>
      <c r="K383" t="s">
        <v>1013</v>
      </c>
    </row>
    <row r="384" spans="1:11">
      <c r="A384" t="s">
        <v>1014</v>
      </c>
      <c r="B384" s="5">
        <v>46217</v>
      </c>
      <c r="C384" t="s">
        <v>999</v>
      </c>
      <c r="D384" t="s">
        <v>67</v>
      </c>
      <c r="E384" t="s">
        <v>15</v>
      </c>
      <c r="F384" t="s">
        <v>82</v>
      </c>
      <c r="G384" t="s">
        <v>1011</v>
      </c>
      <c r="H384" t="s">
        <v>1012</v>
      </c>
      <c r="I384" s="6">
        <v>9</v>
      </c>
      <c r="J384" t="s">
        <v>71</v>
      </c>
      <c r="K384" t="s">
        <v>1015</v>
      </c>
    </row>
    <row r="385" spans="1:11">
      <c r="A385" t="s">
        <v>1016</v>
      </c>
      <c r="B385" s="5">
        <v>46204</v>
      </c>
      <c r="C385" t="s">
        <v>1017</v>
      </c>
      <c r="D385" t="s">
        <v>67</v>
      </c>
      <c r="E385" t="s">
        <v>40</v>
      </c>
      <c r="F385" t="s">
        <v>82</v>
      </c>
      <c r="G385" t="s">
        <v>837</v>
      </c>
      <c r="H385" t="s">
        <v>550</v>
      </c>
      <c r="I385" s="6">
        <v>8.5</v>
      </c>
      <c r="J385" t="s">
        <v>71</v>
      </c>
      <c r="K385" t="s">
        <v>1018</v>
      </c>
    </row>
    <row r="386" spans="1:11">
      <c r="A386" t="s">
        <v>1019</v>
      </c>
      <c r="B386" s="5">
        <v>46205</v>
      </c>
      <c r="C386" t="s">
        <v>1017</v>
      </c>
      <c r="D386" t="s">
        <v>67</v>
      </c>
      <c r="E386" t="s">
        <v>40</v>
      </c>
      <c r="F386" t="s">
        <v>82</v>
      </c>
      <c r="G386" t="s">
        <v>837</v>
      </c>
      <c r="H386" t="s">
        <v>550</v>
      </c>
      <c r="I386" s="6">
        <v>8.5</v>
      </c>
      <c r="J386" t="s">
        <v>71</v>
      </c>
      <c r="K386" t="s">
        <v>1018</v>
      </c>
    </row>
    <row r="387" spans="1:11">
      <c r="A387" t="s">
        <v>1020</v>
      </c>
      <c r="B387" s="5">
        <v>46210</v>
      </c>
      <c r="C387" t="s">
        <v>1017</v>
      </c>
      <c r="D387" t="s">
        <v>67</v>
      </c>
      <c r="E387" t="s">
        <v>40</v>
      </c>
      <c r="F387" t="s">
        <v>68</v>
      </c>
      <c r="G387" t="s">
        <v>231</v>
      </c>
      <c r="H387" t="s">
        <v>232</v>
      </c>
      <c r="I387" s="6">
        <v>8.5</v>
      </c>
      <c r="J387" t="s">
        <v>71</v>
      </c>
      <c r="K387" t="s">
        <v>1021</v>
      </c>
    </row>
    <row r="388" spans="1:11">
      <c r="A388" t="s">
        <v>1022</v>
      </c>
      <c r="B388" s="5">
        <v>46211</v>
      </c>
      <c r="C388" t="s">
        <v>1017</v>
      </c>
      <c r="D388" t="s">
        <v>67</v>
      </c>
      <c r="E388" t="s">
        <v>40</v>
      </c>
      <c r="F388" t="s">
        <v>68</v>
      </c>
      <c r="G388" t="s">
        <v>231</v>
      </c>
      <c r="H388" t="s">
        <v>232</v>
      </c>
      <c r="I388" s="6">
        <v>8.5</v>
      </c>
      <c r="J388" t="s">
        <v>71</v>
      </c>
      <c r="K388" t="s">
        <v>1021</v>
      </c>
    </row>
    <row r="389" spans="1:11">
      <c r="A389" t="s">
        <v>1023</v>
      </c>
      <c r="B389" s="5">
        <v>46212</v>
      </c>
      <c r="C389" t="s">
        <v>1017</v>
      </c>
      <c r="D389" t="s">
        <v>67</v>
      </c>
      <c r="E389" t="s">
        <v>40</v>
      </c>
      <c r="F389" t="s">
        <v>68</v>
      </c>
      <c r="G389" t="s">
        <v>231</v>
      </c>
      <c r="H389" t="s">
        <v>232</v>
      </c>
      <c r="I389" s="6">
        <v>7.5</v>
      </c>
      <c r="J389" t="s">
        <v>71</v>
      </c>
      <c r="K389" t="s">
        <v>233</v>
      </c>
    </row>
    <row r="390" spans="1:11">
      <c r="A390" t="s">
        <v>1024</v>
      </c>
      <c r="B390" s="5">
        <v>46213</v>
      </c>
      <c r="C390" t="s">
        <v>1017</v>
      </c>
      <c r="D390" t="s">
        <v>67</v>
      </c>
      <c r="E390" t="s">
        <v>40</v>
      </c>
      <c r="F390" t="s">
        <v>68</v>
      </c>
      <c r="G390" t="s">
        <v>292</v>
      </c>
      <c r="H390" t="s">
        <v>293</v>
      </c>
      <c r="I390" s="6">
        <v>10</v>
      </c>
      <c r="J390" t="s">
        <v>71</v>
      </c>
      <c r="K390" t="s">
        <v>1025</v>
      </c>
    </row>
    <row r="391" spans="1:11">
      <c r="A391" t="s">
        <v>1026</v>
      </c>
      <c r="B391" s="5">
        <v>46216</v>
      </c>
      <c r="C391" t="s">
        <v>1017</v>
      </c>
      <c r="D391" t="s">
        <v>67</v>
      </c>
      <c r="E391" t="s">
        <v>40</v>
      </c>
      <c r="F391" t="s">
        <v>82</v>
      </c>
      <c r="G391" t="s">
        <v>549</v>
      </c>
      <c r="H391" t="s">
        <v>550</v>
      </c>
      <c r="I391" s="6">
        <v>9.5</v>
      </c>
      <c r="J391" t="s">
        <v>71</v>
      </c>
      <c r="K391" t="s">
        <v>1027</v>
      </c>
    </row>
    <row r="392" spans="1:11">
      <c r="A392" t="s">
        <v>1028</v>
      </c>
      <c r="B392" s="5">
        <v>46217</v>
      </c>
      <c r="C392" t="s">
        <v>1017</v>
      </c>
      <c r="D392" t="s">
        <v>67</v>
      </c>
      <c r="E392" t="s">
        <v>40</v>
      </c>
      <c r="F392" t="s">
        <v>82</v>
      </c>
      <c r="G392" t="s">
        <v>549</v>
      </c>
      <c r="H392" t="s">
        <v>550</v>
      </c>
      <c r="I392" s="6">
        <v>9.5</v>
      </c>
      <c r="J392" t="s">
        <v>71</v>
      </c>
      <c r="K392" t="s">
        <v>1027</v>
      </c>
    </row>
    <row r="393" spans="1:11">
      <c r="A393" t="s">
        <v>1029</v>
      </c>
      <c r="B393" s="5">
        <v>46218</v>
      </c>
      <c r="C393" t="s">
        <v>1017</v>
      </c>
      <c r="D393" t="s">
        <v>67</v>
      </c>
      <c r="E393" t="s">
        <v>40</v>
      </c>
      <c r="F393" t="s">
        <v>82</v>
      </c>
      <c r="G393" t="s">
        <v>549</v>
      </c>
      <c r="H393" t="s">
        <v>550</v>
      </c>
      <c r="I393" s="6">
        <v>9.5</v>
      </c>
      <c r="J393" t="s">
        <v>71</v>
      </c>
      <c r="K393" t="s">
        <v>1027</v>
      </c>
    </row>
    <row r="394" spans="1:11">
      <c r="A394" t="s">
        <v>1030</v>
      </c>
      <c r="B394" s="5">
        <v>46204</v>
      </c>
      <c r="C394" t="s">
        <v>1031</v>
      </c>
      <c r="D394" t="s">
        <v>67</v>
      </c>
      <c r="E394" t="s">
        <v>40</v>
      </c>
      <c r="F394" t="s">
        <v>68</v>
      </c>
      <c r="G394" t="s">
        <v>1032</v>
      </c>
      <c r="H394" t="s">
        <v>317</v>
      </c>
      <c r="I394" s="6">
        <v>8.5</v>
      </c>
      <c r="J394" t="s">
        <v>71</v>
      </c>
      <c r="K394" t="s">
        <v>1033</v>
      </c>
    </row>
    <row r="395" spans="1:11">
      <c r="A395" t="s">
        <v>1034</v>
      </c>
      <c r="B395" s="5">
        <v>46205</v>
      </c>
      <c r="C395" t="s">
        <v>1031</v>
      </c>
      <c r="D395" t="s">
        <v>67</v>
      </c>
      <c r="E395" t="s">
        <v>40</v>
      </c>
      <c r="F395" t="s">
        <v>68</v>
      </c>
      <c r="G395" t="s">
        <v>1032</v>
      </c>
      <c r="H395" t="s">
        <v>317</v>
      </c>
      <c r="I395" s="6">
        <v>8.5</v>
      </c>
      <c r="J395" t="s">
        <v>71</v>
      </c>
      <c r="K395" t="s">
        <v>1033</v>
      </c>
    </row>
    <row r="396" spans="1:11">
      <c r="A396" t="s">
        <v>1035</v>
      </c>
      <c r="B396" s="5">
        <v>46206</v>
      </c>
      <c r="C396" t="s">
        <v>1031</v>
      </c>
      <c r="D396" t="s">
        <v>67</v>
      </c>
      <c r="E396" t="s">
        <v>40</v>
      </c>
      <c r="F396" t="s">
        <v>68</v>
      </c>
      <c r="G396" t="s">
        <v>1032</v>
      </c>
      <c r="H396" t="s">
        <v>317</v>
      </c>
      <c r="I396" s="6">
        <v>8.5</v>
      </c>
      <c r="J396" t="s">
        <v>71</v>
      </c>
      <c r="K396" t="s">
        <v>1033</v>
      </c>
    </row>
    <row r="397" spans="1:11">
      <c r="A397" t="s">
        <v>1036</v>
      </c>
      <c r="B397" s="5">
        <v>46207</v>
      </c>
      <c r="C397" t="s">
        <v>1031</v>
      </c>
      <c r="D397" t="s">
        <v>67</v>
      </c>
      <c r="E397" t="s">
        <v>40</v>
      </c>
      <c r="F397" t="s">
        <v>68</v>
      </c>
      <c r="G397" t="s">
        <v>1032</v>
      </c>
      <c r="H397" t="s">
        <v>317</v>
      </c>
      <c r="I397" s="6">
        <v>6.5</v>
      </c>
      <c r="J397" t="s">
        <v>71</v>
      </c>
      <c r="K397" t="s">
        <v>1037</v>
      </c>
    </row>
    <row r="398" spans="1:11">
      <c r="A398" t="s">
        <v>1038</v>
      </c>
      <c r="B398" s="5">
        <v>46209</v>
      </c>
      <c r="C398" t="s">
        <v>1031</v>
      </c>
      <c r="D398" t="s">
        <v>67</v>
      </c>
      <c r="E398" t="s">
        <v>40</v>
      </c>
      <c r="F398" t="s">
        <v>68</v>
      </c>
      <c r="G398" t="s">
        <v>1032</v>
      </c>
      <c r="H398" t="s">
        <v>317</v>
      </c>
      <c r="I398" s="6">
        <v>8.5</v>
      </c>
      <c r="J398" t="s">
        <v>71</v>
      </c>
      <c r="K398" t="s">
        <v>1033</v>
      </c>
    </row>
    <row r="399" spans="1:11">
      <c r="A399" t="s">
        <v>1039</v>
      </c>
      <c r="B399" s="5">
        <v>46210</v>
      </c>
      <c r="C399" t="s">
        <v>1031</v>
      </c>
      <c r="D399" t="s">
        <v>67</v>
      </c>
      <c r="E399" t="s">
        <v>40</v>
      </c>
      <c r="F399" t="s">
        <v>68</v>
      </c>
      <c r="G399" t="s">
        <v>1032</v>
      </c>
      <c r="H399" t="s">
        <v>317</v>
      </c>
      <c r="I399" s="6">
        <v>8.5</v>
      </c>
      <c r="J399" t="s">
        <v>71</v>
      </c>
      <c r="K399" t="s">
        <v>1033</v>
      </c>
    </row>
    <row r="400" spans="1:11">
      <c r="A400" t="s">
        <v>1040</v>
      </c>
      <c r="B400" s="5">
        <v>46211</v>
      </c>
      <c r="C400" t="s">
        <v>1031</v>
      </c>
      <c r="D400" t="s">
        <v>67</v>
      </c>
      <c r="E400" t="s">
        <v>40</v>
      </c>
      <c r="F400" t="s">
        <v>68</v>
      </c>
      <c r="G400" t="s">
        <v>1032</v>
      </c>
      <c r="H400" t="s">
        <v>317</v>
      </c>
      <c r="I400" s="6">
        <v>8.5</v>
      </c>
      <c r="J400" t="s">
        <v>71</v>
      </c>
      <c r="K400" t="s">
        <v>1033</v>
      </c>
    </row>
    <row r="401" spans="1:11">
      <c r="A401" t="s">
        <v>1041</v>
      </c>
      <c r="B401" s="5">
        <v>46212</v>
      </c>
      <c r="C401" t="s">
        <v>1031</v>
      </c>
      <c r="D401" t="s">
        <v>67</v>
      </c>
      <c r="E401" t="s">
        <v>40</v>
      </c>
      <c r="F401" t="s">
        <v>68</v>
      </c>
      <c r="G401" t="s">
        <v>1032</v>
      </c>
      <c r="H401" t="s">
        <v>317</v>
      </c>
      <c r="I401" s="6">
        <v>8.5</v>
      </c>
      <c r="J401" t="s">
        <v>71</v>
      </c>
      <c r="K401" t="s">
        <v>1033</v>
      </c>
    </row>
    <row r="402" spans="1:11">
      <c r="A402" t="s">
        <v>1042</v>
      </c>
      <c r="B402" s="5">
        <v>46213</v>
      </c>
      <c r="C402" t="s">
        <v>1031</v>
      </c>
      <c r="D402" t="s">
        <v>67</v>
      </c>
      <c r="E402" t="s">
        <v>40</v>
      </c>
      <c r="F402" t="s">
        <v>68</v>
      </c>
      <c r="G402" t="s">
        <v>1032</v>
      </c>
      <c r="H402" t="s">
        <v>317</v>
      </c>
      <c r="I402" s="6">
        <v>8.5</v>
      </c>
      <c r="J402" t="s">
        <v>71</v>
      </c>
      <c r="K402" t="s">
        <v>1033</v>
      </c>
    </row>
    <row r="403" spans="1:11">
      <c r="A403" t="s">
        <v>1043</v>
      </c>
      <c r="B403" s="5">
        <v>46214</v>
      </c>
      <c r="C403" t="s">
        <v>1031</v>
      </c>
      <c r="D403" t="s">
        <v>67</v>
      </c>
      <c r="E403" t="s">
        <v>40</v>
      </c>
      <c r="F403" t="s">
        <v>68</v>
      </c>
      <c r="G403" t="s">
        <v>544</v>
      </c>
      <c r="H403" t="s">
        <v>118</v>
      </c>
      <c r="I403" s="6">
        <v>10.5</v>
      </c>
      <c r="J403" t="s">
        <v>71</v>
      </c>
      <c r="K403" t="s">
        <v>545</v>
      </c>
    </row>
    <row r="404" spans="1:11">
      <c r="A404" t="s">
        <v>1044</v>
      </c>
      <c r="B404" s="5">
        <v>46215</v>
      </c>
      <c r="C404" t="s">
        <v>1031</v>
      </c>
      <c r="D404" t="s">
        <v>67</v>
      </c>
      <c r="E404" t="s">
        <v>40</v>
      </c>
      <c r="F404" t="s">
        <v>68</v>
      </c>
      <c r="G404" t="s">
        <v>544</v>
      </c>
      <c r="H404" t="s">
        <v>118</v>
      </c>
      <c r="I404" s="6">
        <v>5.5</v>
      </c>
      <c r="J404" t="s">
        <v>71</v>
      </c>
      <c r="K404" t="s">
        <v>547</v>
      </c>
    </row>
    <row r="405" spans="1:11">
      <c r="A405" t="s">
        <v>1045</v>
      </c>
      <c r="B405" s="5">
        <v>46216</v>
      </c>
      <c r="C405" t="s">
        <v>1031</v>
      </c>
      <c r="D405" t="s">
        <v>67</v>
      </c>
      <c r="E405" t="s">
        <v>40</v>
      </c>
      <c r="F405" t="s">
        <v>68</v>
      </c>
      <c r="G405" t="s">
        <v>1032</v>
      </c>
      <c r="H405" t="s">
        <v>317</v>
      </c>
      <c r="I405" s="6">
        <v>8.5</v>
      </c>
      <c r="J405" t="s">
        <v>71</v>
      </c>
      <c r="K405" t="s">
        <v>1033</v>
      </c>
    </row>
    <row r="406" spans="1:11">
      <c r="A406" t="s">
        <v>1046</v>
      </c>
      <c r="B406" s="5">
        <v>46217</v>
      </c>
      <c r="C406" t="s">
        <v>1031</v>
      </c>
      <c r="D406" t="s">
        <v>67</v>
      </c>
      <c r="E406" t="s">
        <v>40</v>
      </c>
      <c r="F406" t="s">
        <v>68</v>
      </c>
      <c r="G406" t="s">
        <v>1032</v>
      </c>
      <c r="H406" t="s">
        <v>317</v>
      </c>
      <c r="I406" s="6">
        <v>8.5</v>
      </c>
      <c r="J406" t="s">
        <v>71</v>
      </c>
      <c r="K406" t="s">
        <v>1033</v>
      </c>
    </row>
    <row r="407" spans="1:11">
      <c r="A407" t="s">
        <v>1047</v>
      </c>
      <c r="B407" s="5">
        <v>46218</v>
      </c>
      <c r="C407" t="s">
        <v>1031</v>
      </c>
      <c r="D407" t="s">
        <v>67</v>
      </c>
      <c r="E407" t="s">
        <v>40</v>
      </c>
      <c r="F407" t="s">
        <v>68</v>
      </c>
      <c r="G407" t="s">
        <v>1032</v>
      </c>
      <c r="H407" t="s">
        <v>317</v>
      </c>
      <c r="I407" s="6">
        <v>8.5</v>
      </c>
      <c r="J407" t="s">
        <v>71</v>
      </c>
      <c r="K407" t="s">
        <v>1033</v>
      </c>
    </row>
    <row r="408" spans="1:11">
      <c r="A408" t="s">
        <v>1048</v>
      </c>
      <c r="B408" s="5">
        <v>46204</v>
      </c>
      <c r="C408" t="s">
        <v>1049</v>
      </c>
      <c r="D408" t="s">
        <v>67</v>
      </c>
      <c r="E408" t="s">
        <v>17</v>
      </c>
      <c r="F408" t="s">
        <v>68</v>
      </c>
      <c r="G408" t="s">
        <v>489</v>
      </c>
      <c r="H408" t="s">
        <v>490</v>
      </c>
      <c r="I408" s="6">
        <v>7.5</v>
      </c>
      <c r="J408" t="s">
        <v>71</v>
      </c>
      <c r="K408" t="s">
        <v>491</v>
      </c>
    </row>
    <row r="409" spans="1:11">
      <c r="A409" t="s">
        <v>1050</v>
      </c>
      <c r="B409" s="5">
        <v>46205</v>
      </c>
      <c r="C409" t="s">
        <v>1049</v>
      </c>
      <c r="D409" t="s">
        <v>67</v>
      </c>
      <c r="E409" t="s">
        <v>17</v>
      </c>
      <c r="F409" t="s">
        <v>68</v>
      </c>
      <c r="G409" t="s">
        <v>489</v>
      </c>
      <c r="H409" t="s">
        <v>490</v>
      </c>
      <c r="I409" s="6">
        <v>7.5</v>
      </c>
      <c r="J409" t="s">
        <v>71</v>
      </c>
      <c r="K409" t="s">
        <v>491</v>
      </c>
    </row>
    <row r="410" spans="1:11">
      <c r="A410" t="s">
        <v>1051</v>
      </c>
      <c r="B410" s="5">
        <v>46206</v>
      </c>
      <c r="C410" t="s">
        <v>1049</v>
      </c>
      <c r="D410" t="s">
        <v>67</v>
      </c>
      <c r="E410" t="s">
        <v>17</v>
      </c>
      <c r="F410" t="s">
        <v>68</v>
      </c>
      <c r="G410" t="s">
        <v>489</v>
      </c>
      <c r="H410" t="s">
        <v>490</v>
      </c>
      <c r="I410" s="6">
        <v>7.5</v>
      </c>
      <c r="J410" t="s">
        <v>71</v>
      </c>
      <c r="K410" t="s">
        <v>491</v>
      </c>
    </row>
    <row r="411" spans="1:11">
      <c r="A411" t="s">
        <v>1052</v>
      </c>
      <c r="B411" s="5">
        <v>46209</v>
      </c>
      <c r="C411" t="s">
        <v>1049</v>
      </c>
      <c r="D411" t="s">
        <v>67</v>
      </c>
      <c r="E411" t="s">
        <v>17</v>
      </c>
      <c r="F411" t="s">
        <v>68</v>
      </c>
      <c r="G411" t="s">
        <v>489</v>
      </c>
      <c r="H411" t="s">
        <v>490</v>
      </c>
      <c r="I411" s="6">
        <v>7.5</v>
      </c>
      <c r="J411" t="s">
        <v>71</v>
      </c>
      <c r="K411" t="s">
        <v>491</v>
      </c>
    </row>
    <row r="412" spans="1:11">
      <c r="A412" t="s">
        <v>1053</v>
      </c>
      <c r="B412" s="5">
        <v>46210</v>
      </c>
      <c r="C412" t="s">
        <v>1049</v>
      </c>
      <c r="D412" t="s">
        <v>67</v>
      </c>
      <c r="E412" t="s">
        <v>17</v>
      </c>
      <c r="F412" t="s">
        <v>68</v>
      </c>
      <c r="G412" t="s">
        <v>489</v>
      </c>
      <c r="H412" t="s">
        <v>490</v>
      </c>
      <c r="I412" s="6">
        <v>7.5</v>
      </c>
      <c r="J412" t="s">
        <v>71</v>
      </c>
      <c r="K412" t="s">
        <v>491</v>
      </c>
    </row>
    <row r="413" spans="1:11">
      <c r="A413" t="s">
        <v>1054</v>
      </c>
      <c r="B413" s="5">
        <v>46213</v>
      </c>
      <c r="C413" t="s">
        <v>1049</v>
      </c>
      <c r="D413" t="s">
        <v>67</v>
      </c>
      <c r="E413" t="s">
        <v>17</v>
      </c>
      <c r="F413" t="s">
        <v>68</v>
      </c>
      <c r="G413" t="s">
        <v>489</v>
      </c>
      <c r="H413" t="s">
        <v>490</v>
      </c>
      <c r="I413" s="6">
        <v>7.5</v>
      </c>
      <c r="J413" t="s">
        <v>71</v>
      </c>
      <c r="K413" t="s">
        <v>491</v>
      </c>
    </row>
    <row r="414" spans="1:11">
      <c r="A414" t="s">
        <v>1055</v>
      </c>
      <c r="B414" s="5">
        <v>46204</v>
      </c>
      <c r="C414" t="s">
        <v>1056</v>
      </c>
      <c r="D414" t="s">
        <v>67</v>
      </c>
      <c r="E414" t="s">
        <v>40</v>
      </c>
      <c r="F414" t="s">
        <v>68</v>
      </c>
      <c r="G414" t="s">
        <v>527</v>
      </c>
      <c r="H414" t="s">
        <v>528</v>
      </c>
      <c r="I414" s="6">
        <v>11.5</v>
      </c>
      <c r="J414" t="s">
        <v>71</v>
      </c>
      <c r="K414" t="s">
        <v>534</v>
      </c>
    </row>
    <row r="415" spans="1:11">
      <c r="A415" t="s">
        <v>1057</v>
      </c>
      <c r="B415" s="5">
        <v>46205</v>
      </c>
      <c r="C415" t="s">
        <v>1056</v>
      </c>
      <c r="D415" t="s">
        <v>67</v>
      </c>
      <c r="E415" t="s">
        <v>40</v>
      </c>
      <c r="F415" t="s">
        <v>68</v>
      </c>
      <c r="G415" t="s">
        <v>527</v>
      </c>
      <c r="H415" t="s">
        <v>528</v>
      </c>
      <c r="I415" s="6">
        <v>11.5</v>
      </c>
      <c r="J415" t="s">
        <v>71</v>
      </c>
      <c r="K415" t="s">
        <v>534</v>
      </c>
    </row>
    <row r="416" spans="1:11">
      <c r="A416" t="s">
        <v>1058</v>
      </c>
      <c r="B416" s="5">
        <v>46206</v>
      </c>
      <c r="C416" t="s">
        <v>1056</v>
      </c>
      <c r="D416" t="s">
        <v>67</v>
      </c>
      <c r="E416" t="s">
        <v>40</v>
      </c>
      <c r="F416" t="s">
        <v>68</v>
      </c>
      <c r="G416" t="s">
        <v>565</v>
      </c>
      <c r="H416" t="s">
        <v>302</v>
      </c>
      <c r="I416" s="6">
        <v>11.5</v>
      </c>
      <c r="J416" t="s">
        <v>71</v>
      </c>
      <c r="K416" t="s">
        <v>1059</v>
      </c>
    </row>
    <row r="417" spans="1:11">
      <c r="A417" t="s">
        <v>1060</v>
      </c>
      <c r="B417" s="5">
        <v>46207</v>
      </c>
      <c r="C417" t="s">
        <v>1056</v>
      </c>
      <c r="D417" t="s">
        <v>67</v>
      </c>
      <c r="E417" t="s">
        <v>40</v>
      </c>
      <c r="F417" t="s">
        <v>68</v>
      </c>
      <c r="G417" t="s">
        <v>565</v>
      </c>
      <c r="H417" t="s">
        <v>302</v>
      </c>
      <c r="I417" s="6">
        <v>8.5</v>
      </c>
      <c r="J417" t="s">
        <v>71</v>
      </c>
      <c r="K417" t="s">
        <v>1061</v>
      </c>
    </row>
    <row r="418" spans="1:11">
      <c r="A418" t="s">
        <v>1062</v>
      </c>
      <c r="B418" s="5">
        <v>46209</v>
      </c>
      <c r="C418" t="s">
        <v>1056</v>
      </c>
      <c r="D418" t="s">
        <v>67</v>
      </c>
      <c r="E418" t="s">
        <v>40</v>
      </c>
      <c r="F418" t="s">
        <v>68</v>
      </c>
      <c r="G418" t="s">
        <v>527</v>
      </c>
      <c r="H418" t="s">
        <v>528</v>
      </c>
      <c r="I418" s="6">
        <v>11.5</v>
      </c>
      <c r="J418" t="s">
        <v>71</v>
      </c>
      <c r="K418" t="s">
        <v>534</v>
      </c>
    </row>
    <row r="419" spans="1:11">
      <c r="A419" t="s">
        <v>1063</v>
      </c>
      <c r="B419" s="5">
        <v>46212</v>
      </c>
      <c r="C419" t="s">
        <v>1056</v>
      </c>
      <c r="D419" t="s">
        <v>67</v>
      </c>
      <c r="E419" t="s">
        <v>40</v>
      </c>
      <c r="F419" t="s">
        <v>68</v>
      </c>
      <c r="G419" t="s">
        <v>527</v>
      </c>
      <c r="H419" t="s">
        <v>528</v>
      </c>
      <c r="I419" s="6">
        <v>11.5</v>
      </c>
      <c r="J419" t="s">
        <v>71</v>
      </c>
      <c r="K419" t="s">
        <v>534</v>
      </c>
    </row>
    <row r="420" spans="1:11">
      <c r="A420" t="s">
        <v>1064</v>
      </c>
      <c r="B420" s="5">
        <v>46213</v>
      </c>
      <c r="C420" t="s">
        <v>1056</v>
      </c>
      <c r="D420" t="s">
        <v>67</v>
      </c>
      <c r="E420" t="s">
        <v>40</v>
      </c>
      <c r="F420" t="s">
        <v>68</v>
      </c>
      <c r="G420" t="s">
        <v>527</v>
      </c>
      <c r="H420" t="s">
        <v>528</v>
      </c>
      <c r="I420" s="6">
        <v>11.5</v>
      </c>
      <c r="J420" t="s">
        <v>71</v>
      </c>
      <c r="K420" t="s">
        <v>534</v>
      </c>
    </row>
    <row r="421" spans="1:11">
      <c r="A421" t="s">
        <v>1065</v>
      </c>
      <c r="B421" s="5">
        <v>46214</v>
      </c>
      <c r="C421" t="s">
        <v>1056</v>
      </c>
      <c r="D421" t="s">
        <v>67</v>
      </c>
      <c r="E421" t="s">
        <v>40</v>
      </c>
      <c r="F421" t="s">
        <v>68</v>
      </c>
      <c r="G421" t="s">
        <v>544</v>
      </c>
      <c r="H421" t="s">
        <v>118</v>
      </c>
      <c r="I421" s="6">
        <v>10.5</v>
      </c>
      <c r="J421" t="s">
        <v>71</v>
      </c>
      <c r="K421" t="s">
        <v>545</v>
      </c>
    </row>
    <row r="422" spans="1:11">
      <c r="A422" t="s">
        <v>1066</v>
      </c>
      <c r="B422" s="5">
        <v>46216</v>
      </c>
      <c r="C422" t="s">
        <v>1056</v>
      </c>
      <c r="D422" t="s">
        <v>67</v>
      </c>
      <c r="E422" t="s">
        <v>40</v>
      </c>
      <c r="F422" t="s">
        <v>68</v>
      </c>
      <c r="G422" t="s">
        <v>574</v>
      </c>
      <c r="H422" t="s">
        <v>302</v>
      </c>
      <c r="I422" s="6">
        <v>11.5</v>
      </c>
      <c r="J422" t="s">
        <v>71</v>
      </c>
      <c r="K422" t="s">
        <v>1067</v>
      </c>
    </row>
    <row r="423" spans="1:11">
      <c r="A423" t="s">
        <v>1068</v>
      </c>
      <c r="B423" s="5">
        <v>46217</v>
      </c>
      <c r="C423" t="s">
        <v>1056</v>
      </c>
      <c r="D423" t="s">
        <v>67</v>
      </c>
      <c r="E423" t="s">
        <v>40</v>
      </c>
      <c r="F423" t="s">
        <v>68</v>
      </c>
      <c r="G423" t="s">
        <v>527</v>
      </c>
      <c r="H423" t="s">
        <v>528</v>
      </c>
      <c r="I423" s="6">
        <v>11.5</v>
      </c>
      <c r="J423" t="s">
        <v>71</v>
      </c>
      <c r="K423" t="s">
        <v>534</v>
      </c>
    </row>
    <row r="424" spans="1:11">
      <c r="A424" t="s">
        <v>1069</v>
      </c>
      <c r="B424" s="5">
        <v>46218</v>
      </c>
      <c r="C424" t="s">
        <v>1056</v>
      </c>
      <c r="D424" t="s">
        <v>67</v>
      </c>
      <c r="E424" t="s">
        <v>40</v>
      </c>
      <c r="F424" t="s">
        <v>68</v>
      </c>
      <c r="G424" t="s">
        <v>527</v>
      </c>
      <c r="H424" t="s">
        <v>528</v>
      </c>
      <c r="I424" s="6">
        <v>11.5</v>
      </c>
      <c r="J424" t="s">
        <v>71</v>
      </c>
      <c r="K424" t="s">
        <v>534</v>
      </c>
    </row>
    <row r="425" spans="1:11">
      <c r="A425" t="s">
        <v>1070</v>
      </c>
      <c r="B425" s="5">
        <v>46204</v>
      </c>
      <c r="C425" t="s">
        <v>1071</v>
      </c>
      <c r="D425" t="s">
        <v>67</v>
      </c>
      <c r="E425" t="s">
        <v>24</v>
      </c>
      <c r="F425" t="s">
        <v>82</v>
      </c>
      <c r="G425" t="s">
        <v>1072</v>
      </c>
      <c r="H425" t="s">
        <v>302</v>
      </c>
      <c r="I425" s="6">
        <v>10</v>
      </c>
      <c r="J425" t="s">
        <v>71</v>
      </c>
      <c r="K425" t="s">
        <v>1073</v>
      </c>
    </row>
    <row r="426" spans="1:11">
      <c r="A426" t="s">
        <v>1074</v>
      </c>
      <c r="B426" s="5">
        <v>46205</v>
      </c>
      <c r="C426" t="s">
        <v>1071</v>
      </c>
      <c r="D426" t="s">
        <v>67</v>
      </c>
      <c r="E426" t="s">
        <v>24</v>
      </c>
      <c r="F426" t="s">
        <v>82</v>
      </c>
      <c r="G426" t="s">
        <v>1072</v>
      </c>
      <c r="H426" t="s">
        <v>302</v>
      </c>
      <c r="I426" s="6">
        <v>10</v>
      </c>
      <c r="J426" t="s">
        <v>71</v>
      </c>
      <c r="K426" t="s">
        <v>1073</v>
      </c>
    </row>
    <row r="427" spans="1:11">
      <c r="A427" t="s">
        <v>1075</v>
      </c>
      <c r="B427" s="5">
        <v>46206</v>
      </c>
      <c r="C427" t="s">
        <v>1071</v>
      </c>
      <c r="D427" t="s">
        <v>67</v>
      </c>
      <c r="E427" t="s">
        <v>24</v>
      </c>
      <c r="F427" t="s">
        <v>82</v>
      </c>
      <c r="G427" t="s">
        <v>1072</v>
      </c>
      <c r="H427" t="s">
        <v>302</v>
      </c>
      <c r="I427" s="6">
        <v>10</v>
      </c>
      <c r="J427" t="s">
        <v>71</v>
      </c>
      <c r="K427" t="s">
        <v>1073</v>
      </c>
    </row>
    <row r="428" spans="1:11">
      <c r="A428" t="s">
        <v>1076</v>
      </c>
      <c r="B428" s="5">
        <v>46209</v>
      </c>
      <c r="C428" t="s">
        <v>1071</v>
      </c>
      <c r="D428" t="s">
        <v>67</v>
      </c>
      <c r="E428" t="s">
        <v>24</v>
      </c>
      <c r="F428" t="s">
        <v>82</v>
      </c>
      <c r="G428" t="s">
        <v>1072</v>
      </c>
      <c r="H428" t="s">
        <v>302</v>
      </c>
      <c r="I428" s="6">
        <v>10</v>
      </c>
      <c r="J428" t="s">
        <v>71</v>
      </c>
      <c r="K428" t="s">
        <v>1073</v>
      </c>
    </row>
    <row r="429" spans="1:11">
      <c r="A429" t="s">
        <v>1077</v>
      </c>
      <c r="B429" s="5">
        <v>46210</v>
      </c>
      <c r="C429" t="s">
        <v>1071</v>
      </c>
      <c r="D429" t="s">
        <v>67</v>
      </c>
      <c r="E429" t="s">
        <v>24</v>
      </c>
      <c r="F429" t="s">
        <v>82</v>
      </c>
      <c r="G429" t="s">
        <v>1072</v>
      </c>
      <c r="H429" t="s">
        <v>302</v>
      </c>
      <c r="I429" s="6">
        <v>10</v>
      </c>
      <c r="J429" t="s">
        <v>71</v>
      </c>
      <c r="K429" t="s">
        <v>1073</v>
      </c>
    </row>
    <row r="430" spans="1:11">
      <c r="A430" t="s">
        <v>1078</v>
      </c>
      <c r="B430" s="5">
        <v>46211</v>
      </c>
      <c r="C430" t="s">
        <v>1071</v>
      </c>
      <c r="D430" t="s">
        <v>67</v>
      </c>
      <c r="E430" t="s">
        <v>24</v>
      </c>
      <c r="F430" t="s">
        <v>82</v>
      </c>
      <c r="G430" t="s">
        <v>1072</v>
      </c>
      <c r="H430" t="s">
        <v>302</v>
      </c>
      <c r="I430" s="6">
        <v>10</v>
      </c>
      <c r="J430" t="s">
        <v>71</v>
      </c>
      <c r="K430" t="s">
        <v>1073</v>
      </c>
    </row>
    <row r="431" spans="1:11">
      <c r="A431" t="s">
        <v>1079</v>
      </c>
      <c r="B431" s="5">
        <v>46213</v>
      </c>
      <c r="C431" t="s">
        <v>1071</v>
      </c>
      <c r="D431" t="s">
        <v>67</v>
      </c>
      <c r="E431" t="s">
        <v>24</v>
      </c>
      <c r="F431" t="s">
        <v>82</v>
      </c>
      <c r="G431" t="s">
        <v>1072</v>
      </c>
      <c r="H431" t="s">
        <v>302</v>
      </c>
      <c r="I431" s="6">
        <v>10</v>
      </c>
      <c r="J431" t="s">
        <v>71</v>
      </c>
      <c r="K431" t="s">
        <v>1073</v>
      </c>
    </row>
    <row r="432" spans="1:11">
      <c r="A432" t="s">
        <v>1080</v>
      </c>
      <c r="B432" s="5">
        <v>46216</v>
      </c>
      <c r="C432" t="s">
        <v>1071</v>
      </c>
      <c r="D432" t="s">
        <v>67</v>
      </c>
      <c r="E432" t="s">
        <v>24</v>
      </c>
      <c r="F432" t="s">
        <v>82</v>
      </c>
      <c r="G432" t="s">
        <v>1072</v>
      </c>
      <c r="H432" t="s">
        <v>302</v>
      </c>
      <c r="I432" s="6">
        <v>10</v>
      </c>
      <c r="J432" t="s">
        <v>71</v>
      </c>
      <c r="K432" t="s">
        <v>1073</v>
      </c>
    </row>
    <row r="433" spans="1:11">
      <c r="A433" t="s">
        <v>1081</v>
      </c>
      <c r="B433" s="5">
        <v>46217</v>
      </c>
      <c r="C433" t="s">
        <v>1071</v>
      </c>
      <c r="D433" t="s">
        <v>67</v>
      </c>
      <c r="E433" t="s">
        <v>24</v>
      </c>
      <c r="F433" t="s">
        <v>82</v>
      </c>
      <c r="G433" t="s">
        <v>1072</v>
      </c>
      <c r="H433" t="s">
        <v>302</v>
      </c>
      <c r="I433" s="6">
        <v>10</v>
      </c>
      <c r="J433" t="s">
        <v>71</v>
      </c>
      <c r="K433" t="s">
        <v>1073</v>
      </c>
    </row>
    <row r="434" spans="1:11">
      <c r="A434" t="s">
        <v>1082</v>
      </c>
      <c r="B434" s="5">
        <v>46218</v>
      </c>
      <c r="C434" t="s">
        <v>1071</v>
      </c>
      <c r="D434" t="s">
        <v>67</v>
      </c>
      <c r="E434" t="s">
        <v>24</v>
      </c>
      <c r="F434" t="s">
        <v>82</v>
      </c>
      <c r="G434" t="s">
        <v>1072</v>
      </c>
      <c r="H434" t="s">
        <v>302</v>
      </c>
      <c r="I434" s="6">
        <v>10</v>
      </c>
      <c r="J434" t="s">
        <v>71</v>
      </c>
      <c r="K434" t="s">
        <v>1073</v>
      </c>
    </row>
    <row r="435" spans="1:11">
      <c r="A435" t="s">
        <v>1083</v>
      </c>
      <c r="B435" s="5">
        <v>46204</v>
      </c>
      <c r="C435" t="s">
        <v>1084</v>
      </c>
      <c r="D435" t="s">
        <v>67</v>
      </c>
      <c r="E435" t="s">
        <v>40</v>
      </c>
      <c r="F435" t="s">
        <v>82</v>
      </c>
      <c r="G435" t="s">
        <v>1032</v>
      </c>
      <c r="H435" t="s">
        <v>317</v>
      </c>
      <c r="I435" s="6">
        <v>10.5</v>
      </c>
      <c r="J435" t="s">
        <v>71</v>
      </c>
      <c r="K435" t="s">
        <v>1085</v>
      </c>
    </row>
    <row r="436" spans="1:11">
      <c r="A436" t="s">
        <v>1086</v>
      </c>
      <c r="B436" s="5">
        <v>46205</v>
      </c>
      <c r="C436" t="s">
        <v>1084</v>
      </c>
      <c r="D436" t="s">
        <v>67</v>
      </c>
      <c r="E436" t="s">
        <v>40</v>
      </c>
      <c r="F436" t="s">
        <v>82</v>
      </c>
      <c r="G436" t="s">
        <v>1032</v>
      </c>
      <c r="H436" t="s">
        <v>317</v>
      </c>
      <c r="I436" s="6">
        <v>10.5</v>
      </c>
      <c r="J436" t="s">
        <v>71</v>
      </c>
      <c r="K436" t="s">
        <v>1085</v>
      </c>
    </row>
    <row r="437" spans="1:11">
      <c r="A437" t="s">
        <v>1087</v>
      </c>
      <c r="B437" s="5">
        <v>46206</v>
      </c>
      <c r="C437" t="s">
        <v>1084</v>
      </c>
      <c r="D437" t="s">
        <v>67</v>
      </c>
      <c r="E437" t="s">
        <v>40</v>
      </c>
      <c r="F437" t="s">
        <v>82</v>
      </c>
      <c r="G437" t="s">
        <v>1032</v>
      </c>
      <c r="H437" t="s">
        <v>317</v>
      </c>
      <c r="I437" s="6">
        <v>10.5</v>
      </c>
      <c r="J437" t="s">
        <v>71</v>
      </c>
      <c r="K437" t="s">
        <v>1085</v>
      </c>
    </row>
    <row r="438" spans="1:11">
      <c r="A438" t="s">
        <v>1088</v>
      </c>
      <c r="B438" s="5">
        <v>46209</v>
      </c>
      <c r="C438" t="s">
        <v>1084</v>
      </c>
      <c r="D438" t="s">
        <v>67</v>
      </c>
      <c r="E438" t="s">
        <v>40</v>
      </c>
      <c r="F438" t="s">
        <v>82</v>
      </c>
      <c r="G438" t="s">
        <v>1032</v>
      </c>
      <c r="H438" t="s">
        <v>317</v>
      </c>
      <c r="I438" s="6">
        <v>10.5</v>
      </c>
      <c r="J438" t="s">
        <v>71</v>
      </c>
      <c r="K438" t="s">
        <v>1085</v>
      </c>
    </row>
    <row r="439" spans="1:11">
      <c r="A439" t="s">
        <v>1089</v>
      </c>
      <c r="B439" s="5">
        <v>46210</v>
      </c>
      <c r="C439" t="s">
        <v>1084</v>
      </c>
      <c r="D439" t="s">
        <v>67</v>
      </c>
      <c r="E439" t="s">
        <v>40</v>
      </c>
      <c r="F439" t="s">
        <v>82</v>
      </c>
      <c r="G439" t="s">
        <v>1032</v>
      </c>
      <c r="H439" t="s">
        <v>317</v>
      </c>
      <c r="I439" s="6">
        <v>10.5</v>
      </c>
      <c r="J439" t="s">
        <v>71</v>
      </c>
      <c r="K439" t="s">
        <v>1085</v>
      </c>
    </row>
    <row r="440" spans="1:11">
      <c r="A440" t="s">
        <v>1090</v>
      </c>
      <c r="B440" s="5">
        <v>46211</v>
      </c>
      <c r="C440" t="s">
        <v>1084</v>
      </c>
      <c r="D440" t="s">
        <v>67</v>
      </c>
      <c r="E440" t="s">
        <v>40</v>
      </c>
      <c r="F440" t="s">
        <v>82</v>
      </c>
      <c r="G440" t="s">
        <v>1032</v>
      </c>
      <c r="H440" t="s">
        <v>317</v>
      </c>
      <c r="I440" s="6">
        <v>10.5</v>
      </c>
      <c r="J440" t="s">
        <v>71</v>
      </c>
      <c r="K440" t="s">
        <v>1085</v>
      </c>
    </row>
    <row r="441" spans="1:11">
      <c r="A441" t="s">
        <v>1091</v>
      </c>
      <c r="B441" s="5">
        <v>46212</v>
      </c>
      <c r="C441" t="s">
        <v>1084</v>
      </c>
      <c r="D441" t="s">
        <v>67</v>
      </c>
      <c r="E441" t="s">
        <v>40</v>
      </c>
      <c r="F441" t="s">
        <v>82</v>
      </c>
      <c r="G441" t="s">
        <v>1032</v>
      </c>
      <c r="H441" t="s">
        <v>317</v>
      </c>
      <c r="I441" s="6">
        <v>10.5</v>
      </c>
      <c r="J441" t="s">
        <v>71</v>
      </c>
      <c r="K441" t="s">
        <v>1085</v>
      </c>
    </row>
    <row r="442" spans="1:11">
      <c r="A442" t="s">
        <v>1092</v>
      </c>
      <c r="B442" s="5">
        <v>46213</v>
      </c>
      <c r="C442" t="s">
        <v>1084</v>
      </c>
      <c r="D442" t="s">
        <v>67</v>
      </c>
      <c r="E442" t="s">
        <v>40</v>
      </c>
      <c r="F442" t="s">
        <v>82</v>
      </c>
      <c r="G442" t="s">
        <v>1032</v>
      </c>
      <c r="H442" t="s">
        <v>317</v>
      </c>
      <c r="I442" s="6">
        <v>10.5</v>
      </c>
      <c r="J442" t="s">
        <v>71</v>
      </c>
      <c r="K442" t="s">
        <v>1085</v>
      </c>
    </row>
    <row r="443" spans="1:11">
      <c r="A443" t="s">
        <v>1093</v>
      </c>
      <c r="B443" s="5">
        <v>46216</v>
      </c>
      <c r="C443" t="s">
        <v>1084</v>
      </c>
      <c r="D443" t="s">
        <v>67</v>
      </c>
      <c r="E443" t="s">
        <v>40</v>
      </c>
      <c r="F443" t="s">
        <v>82</v>
      </c>
      <c r="G443" t="s">
        <v>1032</v>
      </c>
      <c r="H443" t="s">
        <v>317</v>
      </c>
      <c r="I443" s="6">
        <v>10.5</v>
      </c>
      <c r="J443" t="s">
        <v>71</v>
      </c>
      <c r="K443" t="s">
        <v>1085</v>
      </c>
    </row>
    <row r="444" spans="1:11">
      <c r="A444" t="s">
        <v>1094</v>
      </c>
      <c r="B444" s="5">
        <v>46217</v>
      </c>
      <c r="C444" t="s">
        <v>1084</v>
      </c>
      <c r="D444" t="s">
        <v>67</v>
      </c>
      <c r="E444" t="s">
        <v>40</v>
      </c>
      <c r="F444" t="s">
        <v>82</v>
      </c>
      <c r="G444" t="s">
        <v>1032</v>
      </c>
      <c r="H444" t="s">
        <v>317</v>
      </c>
      <c r="I444" s="6">
        <v>10.5</v>
      </c>
      <c r="J444" t="s">
        <v>71</v>
      </c>
      <c r="K444" t="s">
        <v>1085</v>
      </c>
    </row>
    <row r="445" spans="1:11">
      <c r="A445" t="s">
        <v>1095</v>
      </c>
      <c r="B445" s="5">
        <v>46218</v>
      </c>
      <c r="C445" t="s">
        <v>1084</v>
      </c>
      <c r="D445" t="s">
        <v>67</v>
      </c>
      <c r="E445" t="s">
        <v>40</v>
      </c>
      <c r="F445" t="s">
        <v>82</v>
      </c>
      <c r="G445" t="s">
        <v>1032</v>
      </c>
      <c r="H445" t="s">
        <v>317</v>
      </c>
      <c r="I445" s="6">
        <v>10.5</v>
      </c>
      <c r="J445" t="s">
        <v>71</v>
      </c>
      <c r="K445" t="s">
        <v>1085</v>
      </c>
    </row>
    <row r="446" spans="1:11">
      <c r="A446" t="s">
        <v>1096</v>
      </c>
      <c r="B446" s="5">
        <v>46204</v>
      </c>
      <c r="C446" t="s">
        <v>1097</v>
      </c>
      <c r="D446" t="s">
        <v>67</v>
      </c>
      <c r="E446" t="s">
        <v>24</v>
      </c>
      <c r="F446" t="s">
        <v>68</v>
      </c>
      <c r="G446" t="s">
        <v>890</v>
      </c>
      <c r="H446" t="s">
        <v>891</v>
      </c>
      <c r="I446" s="6">
        <v>8</v>
      </c>
      <c r="J446" t="s">
        <v>71</v>
      </c>
      <c r="K446" t="s">
        <v>1098</v>
      </c>
    </row>
    <row r="447" spans="1:11">
      <c r="A447" t="s">
        <v>1099</v>
      </c>
      <c r="B447" s="5">
        <v>46206</v>
      </c>
      <c r="C447" t="s">
        <v>1097</v>
      </c>
      <c r="D447" t="s">
        <v>67</v>
      </c>
      <c r="E447" t="s">
        <v>24</v>
      </c>
      <c r="F447" t="s">
        <v>82</v>
      </c>
      <c r="G447" t="s">
        <v>633</v>
      </c>
      <c r="H447" t="s">
        <v>407</v>
      </c>
      <c r="I447" s="6">
        <v>6.5</v>
      </c>
      <c r="J447" t="s">
        <v>71</v>
      </c>
      <c r="K447" t="s">
        <v>634</v>
      </c>
    </row>
    <row r="448" spans="1:11">
      <c r="A448" t="s">
        <v>1100</v>
      </c>
      <c r="B448" s="5">
        <v>46209</v>
      </c>
      <c r="C448" t="s">
        <v>1097</v>
      </c>
      <c r="D448" t="s">
        <v>67</v>
      </c>
      <c r="E448" t="s">
        <v>24</v>
      </c>
      <c r="F448" t="s">
        <v>82</v>
      </c>
      <c r="G448" t="s">
        <v>633</v>
      </c>
      <c r="H448" t="s">
        <v>407</v>
      </c>
      <c r="I448" s="6">
        <v>9</v>
      </c>
      <c r="J448" t="s">
        <v>71</v>
      </c>
      <c r="K448" t="s">
        <v>1101</v>
      </c>
    </row>
    <row r="449" spans="1:11">
      <c r="A449" t="s">
        <v>1102</v>
      </c>
      <c r="B449" s="5">
        <v>46210</v>
      </c>
      <c r="C449" t="s">
        <v>1097</v>
      </c>
      <c r="D449" t="s">
        <v>67</v>
      </c>
      <c r="E449" t="s">
        <v>24</v>
      </c>
      <c r="F449" t="s">
        <v>82</v>
      </c>
      <c r="G449" t="s">
        <v>633</v>
      </c>
      <c r="H449" t="s">
        <v>407</v>
      </c>
      <c r="I449" s="6">
        <v>6.5</v>
      </c>
      <c r="J449" t="s">
        <v>71</v>
      </c>
      <c r="K449" t="s">
        <v>634</v>
      </c>
    </row>
    <row r="450" spans="1:11">
      <c r="A450" t="s">
        <v>1103</v>
      </c>
      <c r="B450" s="5">
        <v>46211</v>
      </c>
      <c r="C450" t="s">
        <v>1097</v>
      </c>
      <c r="D450" t="s">
        <v>67</v>
      </c>
      <c r="E450" t="s">
        <v>24</v>
      </c>
      <c r="F450" t="s">
        <v>82</v>
      </c>
      <c r="G450" t="s">
        <v>633</v>
      </c>
      <c r="H450" t="s">
        <v>407</v>
      </c>
      <c r="I450" s="6">
        <v>6</v>
      </c>
      <c r="J450" t="s">
        <v>71</v>
      </c>
      <c r="K450" t="s">
        <v>1104</v>
      </c>
    </row>
    <row r="451" spans="1:11">
      <c r="A451" t="s">
        <v>1105</v>
      </c>
      <c r="B451" s="5">
        <v>46212</v>
      </c>
      <c r="C451" t="s">
        <v>1097</v>
      </c>
      <c r="D451" t="s">
        <v>67</v>
      </c>
      <c r="E451" t="s">
        <v>24</v>
      </c>
      <c r="F451" t="s">
        <v>82</v>
      </c>
      <c r="G451" t="s">
        <v>633</v>
      </c>
      <c r="H451" t="s">
        <v>407</v>
      </c>
      <c r="I451" s="6">
        <v>8</v>
      </c>
      <c r="J451" t="s">
        <v>71</v>
      </c>
      <c r="K451" t="s">
        <v>1106</v>
      </c>
    </row>
    <row r="452" spans="1:11">
      <c r="A452" t="s">
        <v>1107</v>
      </c>
      <c r="B452" s="5">
        <v>46216</v>
      </c>
      <c r="C452" t="s">
        <v>1097</v>
      </c>
      <c r="D452" t="s">
        <v>67</v>
      </c>
      <c r="E452" t="s">
        <v>24</v>
      </c>
      <c r="F452" t="s">
        <v>82</v>
      </c>
      <c r="G452" t="s">
        <v>633</v>
      </c>
      <c r="H452" t="s">
        <v>407</v>
      </c>
      <c r="I452" s="6">
        <v>6</v>
      </c>
      <c r="J452" t="s">
        <v>71</v>
      </c>
      <c r="K452" t="s">
        <v>1104</v>
      </c>
    </row>
    <row r="453" spans="1:11">
      <c r="A453" t="s">
        <v>1108</v>
      </c>
      <c r="B453" s="5">
        <v>46217</v>
      </c>
      <c r="C453" t="s">
        <v>1097</v>
      </c>
      <c r="D453" t="s">
        <v>67</v>
      </c>
      <c r="E453" t="s">
        <v>24</v>
      </c>
      <c r="F453" t="s">
        <v>82</v>
      </c>
      <c r="G453" t="s">
        <v>633</v>
      </c>
      <c r="H453" t="s">
        <v>407</v>
      </c>
      <c r="I453" s="6">
        <v>7.5</v>
      </c>
      <c r="J453" t="s">
        <v>71</v>
      </c>
      <c r="K453" t="s">
        <v>1109</v>
      </c>
    </row>
    <row r="454" spans="1:11">
      <c r="A454" t="s">
        <v>1110</v>
      </c>
      <c r="B454" s="5">
        <v>46218</v>
      </c>
      <c r="C454" t="s">
        <v>1097</v>
      </c>
      <c r="D454" t="s">
        <v>67</v>
      </c>
      <c r="E454" t="s">
        <v>24</v>
      </c>
      <c r="F454" t="s">
        <v>82</v>
      </c>
      <c r="G454" t="s">
        <v>633</v>
      </c>
      <c r="H454" t="s">
        <v>407</v>
      </c>
      <c r="I454" s="6">
        <v>7.5</v>
      </c>
      <c r="J454" t="s">
        <v>71</v>
      </c>
      <c r="K454" t="s">
        <v>1109</v>
      </c>
    </row>
    <row r="455" spans="1:11">
      <c r="A455" t="s">
        <v>1111</v>
      </c>
      <c r="B455" s="5">
        <v>46204</v>
      </c>
      <c r="C455" t="s">
        <v>1112</v>
      </c>
      <c r="D455" t="s">
        <v>67</v>
      </c>
      <c r="E455" t="s">
        <v>40</v>
      </c>
      <c r="F455" t="s">
        <v>82</v>
      </c>
      <c r="G455" t="s">
        <v>521</v>
      </c>
      <c r="H455" t="s">
        <v>522</v>
      </c>
      <c r="I455" s="6">
        <v>9</v>
      </c>
      <c r="J455" t="s">
        <v>71</v>
      </c>
      <c r="K455" t="s">
        <v>1113</v>
      </c>
    </row>
    <row r="456" spans="1:11">
      <c r="A456" t="s">
        <v>1114</v>
      </c>
      <c r="B456" s="5">
        <v>46205</v>
      </c>
      <c r="C456" t="s">
        <v>1112</v>
      </c>
      <c r="D456" t="s">
        <v>67</v>
      </c>
      <c r="E456" t="s">
        <v>40</v>
      </c>
      <c r="F456" t="s">
        <v>82</v>
      </c>
      <c r="G456" t="s">
        <v>1115</v>
      </c>
      <c r="H456" t="s">
        <v>1116</v>
      </c>
      <c r="I456" s="6">
        <v>13.75</v>
      </c>
      <c r="J456" t="s">
        <v>95</v>
      </c>
      <c r="K456" t="s">
        <v>1117</v>
      </c>
    </row>
    <row r="457" spans="1:11">
      <c r="A457" t="s">
        <v>1118</v>
      </c>
      <c r="B457" s="5">
        <v>46206</v>
      </c>
      <c r="C457" t="s">
        <v>1112</v>
      </c>
      <c r="D457" t="s">
        <v>67</v>
      </c>
      <c r="E457" t="s">
        <v>40</v>
      </c>
      <c r="F457" t="s">
        <v>82</v>
      </c>
      <c r="G457" t="s">
        <v>74</v>
      </c>
      <c r="H457" t="s">
        <v>75</v>
      </c>
      <c r="I457" s="6">
        <v>17</v>
      </c>
      <c r="J457" t="s">
        <v>71</v>
      </c>
      <c r="K457" t="s">
        <v>1119</v>
      </c>
    </row>
    <row r="458" spans="1:11">
      <c r="A458" t="s">
        <v>1120</v>
      </c>
      <c r="B458" s="5">
        <v>46207</v>
      </c>
      <c r="C458" t="s">
        <v>1112</v>
      </c>
      <c r="D458" t="s">
        <v>67</v>
      </c>
      <c r="E458" t="s">
        <v>40</v>
      </c>
      <c r="F458" t="s">
        <v>82</v>
      </c>
      <c r="G458" t="s">
        <v>74</v>
      </c>
      <c r="H458" t="s">
        <v>75</v>
      </c>
      <c r="I458" s="6">
        <v>17.5</v>
      </c>
      <c r="J458" t="s">
        <v>71</v>
      </c>
      <c r="K458" t="s">
        <v>1121</v>
      </c>
    </row>
    <row r="459" spans="1:11">
      <c r="A459" t="s">
        <v>1122</v>
      </c>
      <c r="B459" s="5">
        <v>46208</v>
      </c>
      <c r="C459" t="s">
        <v>1112</v>
      </c>
      <c r="D459" t="s">
        <v>67</v>
      </c>
      <c r="E459" t="s">
        <v>40</v>
      </c>
      <c r="F459" t="s">
        <v>82</v>
      </c>
      <c r="G459" t="s">
        <v>74</v>
      </c>
      <c r="H459" t="s">
        <v>75</v>
      </c>
      <c r="I459" s="6">
        <v>17</v>
      </c>
      <c r="J459" t="s">
        <v>71</v>
      </c>
      <c r="K459" t="s">
        <v>1119</v>
      </c>
    </row>
    <row r="460" spans="1:11">
      <c r="A460" t="s">
        <v>1123</v>
      </c>
      <c r="B460" s="5">
        <v>46209</v>
      </c>
      <c r="C460" t="s">
        <v>1112</v>
      </c>
      <c r="D460" t="s">
        <v>67</v>
      </c>
      <c r="E460" t="s">
        <v>40</v>
      </c>
      <c r="F460" t="s">
        <v>82</v>
      </c>
      <c r="G460" t="s">
        <v>74</v>
      </c>
      <c r="H460" t="s">
        <v>75</v>
      </c>
      <c r="I460" s="6">
        <v>11.5</v>
      </c>
      <c r="J460" t="s">
        <v>71</v>
      </c>
      <c r="K460" t="s">
        <v>874</v>
      </c>
    </row>
    <row r="461" spans="1:11">
      <c r="A461" t="s">
        <v>1124</v>
      </c>
      <c r="B461" s="5">
        <v>46210</v>
      </c>
      <c r="C461" t="s">
        <v>1112</v>
      </c>
      <c r="D461" t="s">
        <v>67</v>
      </c>
      <c r="E461" t="s">
        <v>40</v>
      </c>
      <c r="F461" t="s">
        <v>68</v>
      </c>
      <c r="G461" t="s">
        <v>1125</v>
      </c>
      <c r="H461" t="s">
        <v>1126</v>
      </c>
      <c r="I461" s="6">
        <v>8</v>
      </c>
      <c r="J461" t="s">
        <v>71</v>
      </c>
      <c r="K461" t="s">
        <v>1127</v>
      </c>
    </row>
    <row r="462" spans="1:11">
      <c r="A462" t="s">
        <v>1128</v>
      </c>
      <c r="B462" s="5">
        <v>46211</v>
      </c>
      <c r="C462" t="s">
        <v>1112</v>
      </c>
      <c r="D462" t="s">
        <v>67</v>
      </c>
      <c r="E462" t="s">
        <v>40</v>
      </c>
      <c r="F462" t="s">
        <v>68</v>
      </c>
      <c r="G462" t="s">
        <v>1129</v>
      </c>
      <c r="H462" t="s">
        <v>317</v>
      </c>
      <c r="I462" s="6">
        <v>7</v>
      </c>
      <c r="J462" t="s">
        <v>71</v>
      </c>
      <c r="K462" t="s">
        <v>1130</v>
      </c>
    </row>
    <row r="463" spans="1:11">
      <c r="A463" t="s">
        <v>1131</v>
      </c>
      <c r="B463" s="5">
        <v>46212</v>
      </c>
      <c r="C463" t="s">
        <v>1112</v>
      </c>
      <c r="D463" t="s">
        <v>67</v>
      </c>
      <c r="E463" t="s">
        <v>40</v>
      </c>
      <c r="F463" t="s">
        <v>82</v>
      </c>
      <c r="G463" t="s">
        <v>231</v>
      </c>
      <c r="H463" t="s">
        <v>232</v>
      </c>
      <c r="I463" s="6">
        <v>7.5</v>
      </c>
      <c r="J463" t="s">
        <v>71</v>
      </c>
      <c r="K463" t="s">
        <v>1132</v>
      </c>
    </row>
    <row r="464" spans="1:11">
      <c r="A464" t="s">
        <v>1133</v>
      </c>
      <c r="B464" s="5">
        <v>46213</v>
      </c>
      <c r="C464" t="s">
        <v>1112</v>
      </c>
      <c r="D464" t="s">
        <v>67</v>
      </c>
      <c r="E464" t="s">
        <v>40</v>
      </c>
      <c r="F464" t="s">
        <v>82</v>
      </c>
      <c r="G464" t="s">
        <v>1134</v>
      </c>
      <c r="H464" t="s">
        <v>1135</v>
      </c>
      <c r="I464" s="6">
        <v>8.5</v>
      </c>
      <c r="J464" t="s">
        <v>71</v>
      </c>
      <c r="K464" t="s">
        <v>1136</v>
      </c>
    </row>
    <row r="465" spans="1:11">
      <c r="A465" t="s">
        <v>1137</v>
      </c>
      <c r="B465" s="5">
        <v>46216</v>
      </c>
      <c r="C465" t="s">
        <v>1112</v>
      </c>
      <c r="D465" t="s">
        <v>67</v>
      </c>
      <c r="E465" t="s">
        <v>40</v>
      </c>
      <c r="F465" t="s">
        <v>504</v>
      </c>
      <c r="G465" t="s">
        <v>1138</v>
      </c>
      <c r="H465" t="s">
        <v>1139</v>
      </c>
      <c r="I465" s="6">
        <v>13</v>
      </c>
      <c r="J465" t="s">
        <v>95</v>
      </c>
      <c r="K465" t="s">
        <v>1140</v>
      </c>
    </row>
    <row r="466" spans="1:11">
      <c r="A466" t="s">
        <v>1141</v>
      </c>
      <c r="B466" s="5">
        <v>46217</v>
      </c>
      <c r="C466" t="s">
        <v>1112</v>
      </c>
      <c r="D466" t="s">
        <v>67</v>
      </c>
      <c r="E466" t="s">
        <v>40</v>
      </c>
      <c r="F466" t="s">
        <v>68</v>
      </c>
      <c r="G466" t="s">
        <v>1142</v>
      </c>
      <c r="H466" t="s">
        <v>302</v>
      </c>
      <c r="I466" s="6">
        <v>6.5</v>
      </c>
      <c r="J466" t="s">
        <v>71</v>
      </c>
      <c r="K466" t="s">
        <v>1143</v>
      </c>
    </row>
    <row r="467" spans="1:11">
      <c r="A467" t="s">
        <v>1144</v>
      </c>
      <c r="B467" s="5">
        <v>46218</v>
      </c>
      <c r="C467" t="s">
        <v>1112</v>
      </c>
      <c r="D467" t="s">
        <v>67</v>
      </c>
      <c r="E467" t="s">
        <v>40</v>
      </c>
      <c r="F467" t="s">
        <v>68</v>
      </c>
      <c r="G467" t="s">
        <v>1032</v>
      </c>
      <c r="H467" t="s">
        <v>317</v>
      </c>
      <c r="I467" s="6">
        <v>8.5</v>
      </c>
      <c r="J467" t="s">
        <v>71</v>
      </c>
      <c r="K467" t="s">
        <v>1033</v>
      </c>
    </row>
    <row r="468" spans="1:11">
      <c r="A468" t="s">
        <v>1145</v>
      </c>
      <c r="B468" s="5">
        <v>46204</v>
      </c>
      <c r="C468" t="s">
        <v>1146</v>
      </c>
      <c r="D468" t="s">
        <v>67</v>
      </c>
      <c r="E468" t="s">
        <v>40</v>
      </c>
      <c r="F468" t="s">
        <v>68</v>
      </c>
      <c r="G468" t="s">
        <v>837</v>
      </c>
      <c r="H468" t="s">
        <v>550</v>
      </c>
      <c r="I468" s="6">
        <v>8.5</v>
      </c>
      <c r="J468" t="s">
        <v>71</v>
      </c>
      <c r="K468" t="s">
        <v>838</v>
      </c>
    </row>
    <row r="469" spans="1:11">
      <c r="A469" t="s">
        <v>1147</v>
      </c>
      <c r="B469" s="5">
        <v>46205</v>
      </c>
      <c r="C469" t="s">
        <v>1146</v>
      </c>
      <c r="D469" t="s">
        <v>67</v>
      </c>
      <c r="E469" t="s">
        <v>40</v>
      </c>
      <c r="F469" t="s">
        <v>68</v>
      </c>
      <c r="G469" t="s">
        <v>837</v>
      </c>
      <c r="H469" t="s">
        <v>550</v>
      </c>
      <c r="I469" s="6">
        <v>8.5</v>
      </c>
      <c r="J469" t="s">
        <v>71</v>
      </c>
      <c r="K469" t="s">
        <v>838</v>
      </c>
    </row>
    <row r="470" spans="1:11">
      <c r="A470" t="s">
        <v>1148</v>
      </c>
      <c r="B470" s="5">
        <v>46207</v>
      </c>
      <c r="C470" t="s">
        <v>1146</v>
      </c>
      <c r="D470" t="s">
        <v>67</v>
      </c>
      <c r="E470" t="s">
        <v>40</v>
      </c>
      <c r="F470" t="s">
        <v>68</v>
      </c>
      <c r="G470" t="s">
        <v>117</v>
      </c>
      <c r="H470" t="s">
        <v>118</v>
      </c>
      <c r="I470" s="6">
        <v>10.5</v>
      </c>
      <c r="J470" t="s">
        <v>71</v>
      </c>
      <c r="K470" t="s">
        <v>1149</v>
      </c>
    </row>
    <row r="471" spans="1:11">
      <c r="A471" t="s">
        <v>1150</v>
      </c>
      <c r="B471" s="5">
        <v>46216</v>
      </c>
      <c r="C471" t="s">
        <v>1146</v>
      </c>
      <c r="D471" t="s">
        <v>67</v>
      </c>
      <c r="E471" t="s">
        <v>40</v>
      </c>
      <c r="F471" t="s">
        <v>68</v>
      </c>
      <c r="G471" t="s">
        <v>549</v>
      </c>
      <c r="H471" t="s">
        <v>550</v>
      </c>
      <c r="I471" s="6">
        <v>15</v>
      </c>
      <c r="J471" t="s">
        <v>71</v>
      </c>
      <c r="K471" t="s">
        <v>551</v>
      </c>
    </row>
    <row r="472" spans="1:11">
      <c r="A472" t="s">
        <v>1151</v>
      </c>
      <c r="B472" s="5">
        <v>46217</v>
      </c>
      <c r="C472" t="s">
        <v>1146</v>
      </c>
      <c r="D472" t="s">
        <v>67</v>
      </c>
      <c r="E472" t="s">
        <v>40</v>
      </c>
      <c r="F472" t="s">
        <v>504</v>
      </c>
      <c r="G472" t="s">
        <v>549</v>
      </c>
      <c r="H472" t="s">
        <v>550</v>
      </c>
      <c r="I472" s="6">
        <v>16.5</v>
      </c>
      <c r="J472" t="s">
        <v>95</v>
      </c>
      <c r="K472" t="s">
        <v>597</v>
      </c>
    </row>
    <row r="473" spans="1:11">
      <c r="A473" t="s">
        <v>1152</v>
      </c>
      <c r="B473" s="5">
        <v>46218</v>
      </c>
      <c r="C473" t="s">
        <v>1146</v>
      </c>
      <c r="D473" t="s">
        <v>67</v>
      </c>
      <c r="E473" t="s">
        <v>40</v>
      </c>
      <c r="F473" t="s">
        <v>82</v>
      </c>
      <c r="G473" t="s">
        <v>549</v>
      </c>
      <c r="H473" t="s">
        <v>550</v>
      </c>
      <c r="I473" s="6">
        <v>9.5</v>
      </c>
      <c r="J473" t="s">
        <v>71</v>
      </c>
      <c r="K473" t="s">
        <v>1027</v>
      </c>
    </row>
    <row r="474" spans="1:11">
      <c r="A474" t="s">
        <v>1153</v>
      </c>
      <c r="B474" s="5">
        <v>46210</v>
      </c>
      <c r="C474" t="s">
        <v>1154</v>
      </c>
      <c r="D474" t="s">
        <v>67</v>
      </c>
      <c r="E474" t="s">
        <v>30</v>
      </c>
      <c r="F474" t="s">
        <v>68</v>
      </c>
      <c r="G474" t="s">
        <v>1155</v>
      </c>
      <c r="H474" t="s">
        <v>1156</v>
      </c>
      <c r="I474" s="6">
        <v>8.5</v>
      </c>
      <c r="J474" t="s">
        <v>71</v>
      </c>
      <c r="K474" t="s">
        <v>1157</v>
      </c>
    </row>
    <row r="475" spans="1:11">
      <c r="A475" t="s">
        <v>1158</v>
      </c>
      <c r="B475" s="5">
        <v>46212</v>
      </c>
      <c r="C475" t="s">
        <v>1154</v>
      </c>
      <c r="D475" t="s">
        <v>67</v>
      </c>
      <c r="E475" t="s">
        <v>30</v>
      </c>
      <c r="F475" t="s">
        <v>82</v>
      </c>
      <c r="G475" t="s">
        <v>1159</v>
      </c>
      <c r="H475" t="s">
        <v>1160</v>
      </c>
      <c r="I475" s="6">
        <v>9.4499999999999993</v>
      </c>
      <c r="J475" t="s">
        <v>71</v>
      </c>
      <c r="K475" t="s">
        <v>1161</v>
      </c>
    </row>
    <row r="476" spans="1:11">
      <c r="A476" t="s">
        <v>1162</v>
      </c>
      <c r="B476" s="5">
        <v>46213</v>
      </c>
      <c r="C476" t="s">
        <v>1154</v>
      </c>
      <c r="D476" t="s">
        <v>67</v>
      </c>
      <c r="E476" t="s">
        <v>30</v>
      </c>
      <c r="F476" t="s">
        <v>68</v>
      </c>
      <c r="G476" t="s">
        <v>1163</v>
      </c>
      <c r="H476" t="s">
        <v>1164</v>
      </c>
      <c r="I476" s="6">
        <v>5</v>
      </c>
      <c r="J476" t="s">
        <v>71</v>
      </c>
      <c r="K476" t="s">
        <v>1165</v>
      </c>
    </row>
    <row r="477" spans="1:11">
      <c r="A477" t="s">
        <v>1166</v>
      </c>
      <c r="B477" s="5">
        <v>46217</v>
      </c>
      <c r="C477" t="s">
        <v>1154</v>
      </c>
      <c r="D477" t="s">
        <v>67</v>
      </c>
      <c r="E477" t="s">
        <v>30</v>
      </c>
      <c r="F477" t="s">
        <v>68</v>
      </c>
      <c r="G477" t="s">
        <v>1167</v>
      </c>
      <c r="H477" t="s">
        <v>1168</v>
      </c>
      <c r="I477" s="6">
        <v>8.5</v>
      </c>
      <c r="J477" t="s">
        <v>71</v>
      </c>
      <c r="K477" t="s">
        <v>1169</v>
      </c>
    </row>
    <row r="478" spans="1:11">
      <c r="A478" t="s">
        <v>1170</v>
      </c>
      <c r="B478" s="5">
        <v>46218</v>
      </c>
      <c r="C478" t="s">
        <v>1154</v>
      </c>
      <c r="D478" t="s">
        <v>67</v>
      </c>
      <c r="E478" t="s">
        <v>30</v>
      </c>
      <c r="F478" t="s">
        <v>68</v>
      </c>
      <c r="G478" t="s">
        <v>1159</v>
      </c>
      <c r="H478" t="s">
        <v>1160</v>
      </c>
      <c r="I478" s="6">
        <v>4.3</v>
      </c>
      <c r="J478" t="s">
        <v>71</v>
      </c>
      <c r="K478" t="s">
        <v>1171</v>
      </c>
    </row>
    <row r="479" spans="1:11">
      <c r="A479" t="s">
        <v>1172</v>
      </c>
      <c r="B479" s="5">
        <v>46205</v>
      </c>
      <c r="C479" t="s">
        <v>1173</v>
      </c>
      <c r="D479" t="s">
        <v>67</v>
      </c>
      <c r="E479" t="s">
        <v>9</v>
      </c>
      <c r="F479" t="s">
        <v>68</v>
      </c>
      <c r="G479" t="s">
        <v>184</v>
      </c>
      <c r="H479" t="s">
        <v>185</v>
      </c>
      <c r="I479" s="6">
        <v>6.5</v>
      </c>
      <c r="J479" t="s">
        <v>71</v>
      </c>
      <c r="K479" t="s">
        <v>1174</v>
      </c>
    </row>
    <row r="480" spans="1:11">
      <c r="A480" t="s">
        <v>1175</v>
      </c>
      <c r="B480" s="5">
        <v>46206</v>
      </c>
      <c r="C480" t="s">
        <v>1173</v>
      </c>
      <c r="D480" t="s">
        <v>67</v>
      </c>
      <c r="E480" t="s">
        <v>1176</v>
      </c>
      <c r="F480" t="s">
        <v>82</v>
      </c>
      <c r="G480" t="s">
        <v>1177</v>
      </c>
      <c r="H480" t="s">
        <v>1178</v>
      </c>
      <c r="I480" s="6">
        <v>5</v>
      </c>
      <c r="J480" t="s">
        <v>95</v>
      </c>
      <c r="K480" t="s">
        <v>1179</v>
      </c>
    </row>
    <row r="481" spans="1:11">
      <c r="A481" t="s">
        <v>1180</v>
      </c>
      <c r="B481" s="5">
        <v>46209</v>
      </c>
      <c r="C481" t="s">
        <v>1173</v>
      </c>
      <c r="D481" t="s">
        <v>67</v>
      </c>
      <c r="E481" t="s">
        <v>26</v>
      </c>
      <c r="F481" t="s">
        <v>68</v>
      </c>
      <c r="G481" t="s">
        <v>763</v>
      </c>
      <c r="H481" t="s">
        <v>764</v>
      </c>
      <c r="I481" s="6">
        <v>9</v>
      </c>
      <c r="J481" t="s">
        <v>71</v>
      </c>
      <c r="K481" t="s">
        <v>1181</v>
      </c>
    </row>
    <row r="482" spans="1:11">
      <c r="A482" t="s">
        <v>1182</v>
      </c>
      <c r="B482" s="5">
        <v>46210</v>
      </c>
      <c r="C482" t="s">
        <v>1173</v>
      </c>
      <c r="D482" t="s">
        <v>67</v>
      </c>
      <c r="E482" t="s">
        <v>26</v>
      </c>
      <c r="F482" t="s">
        <v>68</v>
      </c>
      <c r="G482" t="s">
        <v>763</v>
      </c>
      <c r="H482" t="s">
        <v>764</v>
      </c>
      <c r="I482" s="6">
        <v>8</v>
      </c>
      <c r="J482" t="s">
        <v>71</v>
      </c>
      <c r="K482" t="s">
        <v>1183</v>
      </c>
    </row>
    <row r="483" spans="1:11">
      <c r="A483" t="s">
        <v>1184</v>
      </c>
      <c r="B483" s="5">
        <v>46211</v>
      </c>
      <c r="C483" t="s">
        <v>1173</v>
      </c>
      <c r="D483" t="s">
        <v>67</v>
      </c>
      <c r="E483" t="s">
        <v>26</v>
      </c>
      <c r="F483" t="s">
        <v>68</v>
      </c>
      <c r="G483" t="s">
        <v>763</v>
      </c>
      <c r="H483" t="s">
        <v>764</v>
      </c>
      <c r="I483" s="6">
        <v>9</v>
      </c>
      <c r="J483" t="s">
        <v>71</v>
      </c>
      <c r="K483" t="s">
        <v>1181</v>
      </c>
    </row>
    <row r="484" spans="1:11">
      <c r="A484" t="s">
        <v>1185</v>
      </c>
      <c r="B484" s="5">
        <v>46212</v>
      </c>
      <c r="C484" t="s">
        <v>1173</v>
      </c>
      <c r="D484" t="s">
        <v>67</v>
      </c>
      <c r="E484" t="s">
        <v>26</v>
      </c>
      <c r="F484" t="s">
        <v>68</v>
      </c>
      <c r="G484" t="s">
        <v>763</v>
      </c>
      <c r="H484" t="s">
        <v>764</v>
      </c>
      <c r="I484" s="6">
        <v>8</v>
      </c>
      <c r="J484" t="s">
        <v>71</v>
      </c>
      <c r="K484" t="s">
        <v>1183</v>
      </c>
    </row>
    <row r="485" spans="1:11">
      <c r="A485" t="s">
        <v>1186</v>
      </c>
      <c r="B485" s="5">
        <v>46214</v>
      </c>
      <c r="C485" t="s">
        <v>1173</v>
      </c>
      <c r="D485" t="s">
        <v>67</v>
      </c>
      <c r="E485" t="s">
        <v>40</v>
      </c>
      <c r="F485" t="s">
        <v>82</v>
      </c>
      <c r="G485" t="s">
        <v>1187</v>
      </c>
      <c r="H485" t="s">
        <v>317</v>
      </c>
      <c r="I485" s="6">
        <v>11</v>
      </c>
      <c r="J485" t="s">
        <v>71</v>
      </c>
      <c r="K485" t="s">
        <v>1188</v>
      </c>
    </row>
    <row r="486" spans="1:11">
      <c r="A486" t="s">
        <v>1189</v>
      </c>
      <c r="B486" s="5">
        <v>46216</v>
      </c>
      <c r="C486" t="s">
        <v>1173</v>
      </c>
      <c r="D486" t="s">
        <v>67</v>
      </c>
      <c r="E486" t="s">
        <v>29</v>
      </c>
      <c r="F486" t="s">
        <v>82</v>
      </c>
      <c r="G486" t="s">
        <v>1190</v>
      </c>
      <c r="H486" t="s">
        <v>1191</v>
      </c>
      <c r="I486" s="6">
        <v>1.25</v>
      </c>
      <c r="J486" t="s">
        <v>71</v>
      </c>
      <c r="K486" t="s">
        <v>1192</v>
      </c>
    </row>
    <row r="487" spans="1:11">
      <c r="A487" t="s">
        <v>1193</v>
      </c>
      <c r="B487" s="5">
        <v>46217</v>
      </c>
      <c r="C487" t="s">
        <v>1173</v>
      </c>
      <c r="D487" t="s">
        <v>67</v>
      </c>
      <c r="E487" t="s">
        <v>9</v>
      </c>
      <c r="F487" t="s">
        <v>82</v>
      </c>
      <c r="G487" t="s">
        <v>215</v>
      </c>
      <c r="H487" t="s">
        <v>216</v>
      </c>
      <c r="I487" s="6">
        <v>5</v>
      </c>
      <c r="J487" t="s">
        <v>71</v>
      </c>
      <c r="K487" t="s">
        <v>1194</v>
      </c>
    </row>
    <row r="488" spans="1:11">
      <c r="A488" t="s">
        <v>1195</v>
      </c>
      <c r="B488" s="5">
        <v>46204</v>
      </c>
      <c r="C488" t="s">
        <v>1196</v>
      </c>
      <c r="D488" t="s">
        <v>67</v>
      </c>
      <c r="E488" t="s">
        <v>17</v>
      </c>
      <c r="F488" t="s">
        <v>68</v>
      </c>
      <c r="G488" t="s">
        <v>244</v>
      </c>
      <c r="H488" t="s">
        <v>245</v>
      </c>
      <c r="I488" s="6">
        <v>4</v>
      </c>
      <c r="J488" t="s">
        <v>71</v>
      </c>
      <c r="K488" t="s">
        <v>246</v>
      </c>
    </row>
    <row r="489" spans="1:11">
      <c r="A489" t="s">
        <v>1197</v>
      </c>
      <c r="B489" s="5">
        <v>46205</v>
      </c>
      <c r="C489" t="s">
        <v>1196</v>
      </c>
      <c r="D489" t="s">
        <v>67</v>
      </c>
      <c r="E489" t="s">
        <v>17</v>
      </c>
      <c r="F489" t="s">
        <v>68</v>
      </c>
      <c r="G489" t="s">
        <v>1198</v>
      </c>
      <c r="H489" t="s">
        <v>1199</v>
      </c>
      <c r="I489" s="6">
        <v>4.5</v>
      </c>
      <c r="J489" t="s">
        <v>71</v>
      </c>
      <c r="K489" t="s">
        <v>1200</v>
      </c>
    </row>
    <row r="490" spans="1:11">
      <c r="A490" t="s">
        <v>1201</v>
      </c>
      <c r="B490" s="5">
        <v>46206</v>
      </c>
      <c r="C490" t="s">
        <v>1196</v>
      </c>
      <c r="D490" t="s">
        <v>67</v>
      </c>
      <c r="E490" t="s">
        <v>17</v>
      </c>
      <c r="F490" t="s">
        <v>68</v>
      </c>
      <c r="G490" t="s">
        <v>252</v>
      </c>
      <c r="H490" t="s">
        <v>249</v>
      </c>
      <c r="I490" s="6">
        <v>8.5</v>
      </c>
      <c r="J490" t="s">
        <v>71</v>
      </c>
      <c r="K490" t="s">
        <v>253</v>
      </c>
    </row>
    <row r="491" spans="1:11">
      <c r="A491" t="s">
        <v>1202</v>
      </c>
      <c r="B491" s="5">
        <v>46207</v>
      </c>
      <c r="C491" t="s">
        <v>1196</v>
      </c>
      <c r="D491" t="s">
        <v>67</v>
      </c>
      <c r="E491" t="s">
        <v>17</v>
      </c>
      <c r="F491" t="s">
        <v>68</v>
      </c>
      <c r="G491" t="s">
        <v>1203</v>
      </c>
      <c r="H491" t="s">
        <v>249</v>
      </c>
      <c r="I491" s="6">
        <v>6</v>
      </c>
      <c r="J491" t="s">
        <v>71</v>
      </c>
      <c r="K491" t="s">
        <v>1204</v>
      </c>
    </row>
    <row r="492" spans="1:11">
      <c r="A492" t="s">
        <v>1205</v>
      </c>
      <c r="B492" s="5">
        <v>46209</v>
      </c>
      <c r="C492" t="s">
        <v>1196</v>
      </c>
      <c r="D492" t="s">
        <v>67</v>
      </c>
      <c r="E492" t="s">
        <v>24</v>
      </c>
      <c r="F492" t="s">
        <v>68</v>
      </c>
      <c r="G492" t="s">
        <v>442</v>
      </c>
      <c r="H492" t="s">
        <v>443</v>
      </c>
      <c r="I492" s="6">
        <v>12</v>
      </c>
      <c r="J492" t="s">
        <v>71</v>
      </c>
      <c r="K492" t="s">
        <v>444</v>
      </c>
    </row>
    <row r="493" spans="1:11">
      <c r="A493" t="s">
        <v>1206</v>
      </c>
      <c r="B493" s="5">
        <v>46213</v>
      </c>
      <c r="C493" t="s">
        <v>1196</v>
      </c>
      <c r="D493" t="s">
        <v>67</v>
      </c>
      <c r="E493" t="s">
        <v>17</v>
      </c>
      <c r="F493" t="s">
        <v>68</v>
      </c>
      <c r="G493" t="s">
        <v>244</v>
      </c>
      <c r="H493" t="s">
        <v>245</v>
      </c>
      <c r="I493" s="6">
        <v>5</v>
      </c>
      <c r="J493" t="s">
        <v>71</v>
      </c>
      <c r="K493" t="s">
        <v>1207</v>
      </c>
    </row>
    <row r="494" spans="1:11">
      <c r="A494" t="s">
        <v>1208</v>
      </c>
      <c r="B494" s="5">
        <v>46209</v>
      </c>
      <c r="C494" t="s">
        <v>1209</v>
      </c>
      <c r="D494" t="s">
        <v>67</v>
      </c>
      <c r="E494" t="s">
        <v>26</v>
      </c>
      <c r="F494" t="s">
        <v>68</v>
      </c>
      <c r="G494" t="s">
        <v>1210</v>
      </c>
      <c r="H494" t="s">
        <v>1211</v>
      </c>
      <c r="I494" s="6">
        <v>8</v>
      </c>
      <c r="J494" t="s">
        <v>71</v>
      </c>
      <c r="K494" t="s">
        <v>1212</v>
      </c>
    </row>
    <row r="495" spans="1:11">
      <c r="A495" t="s">
        <v>1213</v>
      </c>
      <c r="B495" s="5">
        <v>46210</v>
      </c>
      <c r="C495" t="s">
        <v>1209</v>
      </c>
      <c r="D495" t="s">
        <v>67</v>
      </c>
      <c r="E495" t="s">
        <v>26</v>
      </c>
      <c r="F495" t="s">
        <v>68</v>
      </c>
      <c r="G495" t="s">
        <v>1210</v>
      </c>
      <c r="H495" t="s">
        <v>1211</v>
      </c>
      <c r="I495" s="6">
        <v>8</v>
      </c>
      <c r="J495" t="s">
        <v>71</v>
      </c>
      <c r="K495" t="s">
        <v>1212</v>
      </c>
    </row>
    <row r="496" spans="1:11">
      <c r="A496" t="s">
        <v>1214</v>
      </c>
      <c r="B496" s="5">
        <v>46211</v>
      </c>
      <c r="C496" t="s">
        <v>1209</v>
      </c>
      <c r="D496" t="s">
        <v>67</v>
      </c>
      <c r="E496" t="s">
        <v>26</v>
      </c>
      <c r="F496" t="s">
        <v>68</v>
      </c>
      <c r="G496" t="s">
        <v>1210</v>
      </c>
      <c r="H496" t="s">
        <v>1211</v>
      </c>
      <c r="I496" s="6">
        <v>12</v>
      </c>
      <c r="J496" t="s">
        <v>71</v>
      </c>
      <c r="K496" t="s">
        <v>1215</v>
      </c>
    </row>
    <row r="497" spans="1:11">
      <c r="A497" t="s">
        <v>1216</v>
      </c>
      <c r="B497" s="5">
        <v>46212</v>
      </c>
      <c r="C497" t="s">
        <v>1209</v>
      </c>
      <c r="D497" t="s">
        <v>67</v>
      </c>
      <c r="E497" t="s">
        <v>26</v>
      </c>
      <c r="F497" t="s">
        <v>68</v>
      </c>
      <c r="G497" t="s">
        <v>1210</v>
      </c>
      <c r="H497" t="s">
        <v>1211</v>
      </c>
      <c r="I497" s="6">
        <v>4</v>
      </c>
      <c r="J497" t="s">
        <v>71</v>
      </c>
      <c r="K497" t="s">
        <v>1217</v>
      </c>
    </row>
    <row r="498" spans="1:11">
      <c r="A498" t="s">
        <v>1218</v>
      </c>
      <c r="B498" s="5">
        <v>46213</v>
      </c>
      <c r="C498" t="s">
        <v>1209</v>
      </c>
      <c r="D498" t="s">
        <v>67</v>
      </c>
      <c r="E498" t="s">
        <v>17</v>
      </c>
      <c r="F498" t="s">
        <v>68</v>
      </c>
      <c r="G498" t="s">
        <v>1219</v>
      </c>
      <c r="H498" t="s">
        <v>1220</v>
      </c>
      <c r="I498" s="6">
        <v>9</v>
      </c>
      <c r="J498" t="s">
        <v>71</v>
      </c>
      <c r="K498" t="s">
        <v>1221</v>
      </c>
    </row>
    <row r="499" spans="1:11">
      <c r="A499" t="s">
        <v>1222</v>
      </c>
      <c r="B499" s="5">
        <v>46216</v>
      </c>
      <c r="C499" t="s">
        <v>1209</v>
      </c>
      <c r="D499" t="s">
        <v>67</v>
      </c>
      <c r="E499" t="s">
        <v>26</v>
      </c>
      <c r="F499" t="s">
        <v>68</v>
      </c>
      <c r="G499" t="s">
        <v>1223</v>
      </c>
      <c r="H499" t="s">
        <v>1224</v>
      </c>
      <c r="I499" s="6">
        <v>10</v>
      </c>
      <c r="J499" t="s">
        <v>71</v>
      </c>
      <c r="K499" t="s">
        <v>1225</v>
      </c>
    </row>
    <row r="500" spans="1:11">
      <c r="A500" t="s">
        <v>1226</v>
      </c>
      <c r="B500" s="5">
        <v>46217</v>
      </c>
      <c r="C500" t="s">
        <v>1209</v>
      </c>
      <c r="D500" t="s">
        <v>67</v>
      </c>
      <c r="E500" t="s">
        <v>26</v>
      </c>
      <c r="F500" t="s">
        <v>68</v>
      </c>
      <c r="G500" t="s">
        <v>1227</v>
      </c>
      <c r="H500" t="s">
        <v>1228</v>
      </c>
      <c r="I500" s="6">
        <v>8</v>
      </c>
      <c r="J500" t="s">
        <v>71</v>
      </c>
      <c r="K500" t="s">
        <v>1229</v>
      </c>
    </row>
    <row r="501" spans="1:11">
      <c r="A501" t="s">
        <v>1230</v>
      </c>
      <c r="B501" s="5">
        <v>46218</v>
      </c>
      <c r="C501" t="s">
        <v>1209</v>
      </c>
      <c r="D501" t="s">
        <v>67</v>
      </c>
      <c r="E501" t="s">
        <v>1231</v>
      </c>
      <c r="F501" t="s">
        <v>504</v>
      </c>
      <c r="G501" t="s">
        <v>1232</v>
      </c>
      <c r="H501" t="s">
        <v>1233</v>
      </c>
      <c r="I501" s="6">
        <v>15</v>
      </c>
      <c r="J501" t="s">
        <v>95</v>
      </c>
      <c r="K501" t="s">
        <v>1234</v>
      </c>
    </row>
    <row r="502" spans="1:11">
      <c r="A502" t="s">
        <v>1235</v>
      </c>
      <c r="B502" s="5">
        <v>46205</v>
      </c>
      <c r="C502" t="s">
        <v>1236</v>
      </c>
      <c r="D502" t="s">
        <v>67</v>
      </c>
      <c r="E502" t="s">
        <v>26</v>
      </c>
      <c r="F502" t="s">
        <v>68</v>
      </c>
      <c r="G502" t="s">
        <v>763</v>
      </c>
      <c r="H502" t="s">
        <v>764</v>
      </c>
      <c r="I502" s="6">
        <v>8</v>
      </c>
      <c r="J502" t="s">
        <v>71</v>
      </c>
      <c r="K502" t="s">
        <v>1183</v>
      </c>
    </row>
    <row r="503" spans="1:11">
      <c r="A503" t="s">
        <v>1237</v>
      </c>
      <c r="B503" s="5">
        <v>46210</v>
      </c>
      <c r="C503" t="s">
        <v>1236</v>
      </c>
      <c r="D503" t="s">
        <v>67</v>
      </c>
      <c r="E503" t="s">
        <v>26</v>
      </c>
      <c r="F503" t="s">
        <v>68</v>
      </c>
      <c r="G503" t="s">
        <v>763</v>
      </c>
      <c r="H503" t="s">
        <v>764</v>
      </c>
      <c r="I503" s="6">
        <v>8</v>
      </c>
      <c r="J503" t="s">
        <v>71</v>
      </c>
      <c r="K503" t="s">
        <v>1183</v>
      </c>
    </row>
    <row r="504" spans="1:11">
      <c r="A504" t="s">
        <v>1238</v>
      </c>
      <c r="B504" s="5">
        <v>46211</v>
      </c>
      <c r="C504" t="s">
        <v>1236</v>
      </c>
      <c r="D504" t="s">
        <v>67</v>
      </c>
      <c r="E504" t="s">
        <v>26</v>
      </c>
      <c r="F504" t="s">
        <v>68</v>
      </c>
      <c r="G504" t="s">
        <v>763</v>
      </c>
      <c r="H504" t="s">
        <v>764</v>
      </c>
      <c r="I504" s="6">
        <v>9</v>
      </c>
      <c r="J504" t="s">
        <v>71</v>
      </c>
      <c r="K504" t="s">
        <v>1181</v>
      </c>
    </row>
    <row r="505" spans="1:11">
      <c r="A505" t="s">
        <v>1239</v>
      </c>
      <c r="B505" s="5">
        <v>46212</v>
      </c>
      <c r="C505" t="s">
        <v>1236</v>
      </c>
      <c r="D505" t="s">
        <v>67</v>
      </c>
      <c r="E505" t="s">
        <v>26</v>
      </c>
      <c r="F505" t="s">
        <v>68</v>
      </c>
      <c r="G505" t="s">
        <v>763</v>
      </c>
      <c r="H505" t="s">
        <v>764</v>
      </c>
      <c r="I505" s="6">
        <v>8</v>
      </c>
      <c r="J505" t="s">
        <v>71</v>
      </c>
      <c r="K505" t="s">
        <v>1183</v>
      </c>
    </row>
    <row r="506" spans="1:11">
      <c r="A506" t="s">
        <v>1240</v>
      </c>
      <c r="B506" s="5">
        <v>46216</v>
      </c>
      <c r="C506" t="s">
        <v>1236</v>
      </c>
      <c r="D506" t="s">
        <v>67</v>
      </c>
      <c r="E506" t="s">
        <v>26</v>
      </c>
      <c r="F506" t="s">
        <v>68</v>
      </c>
      <c r="G506" t="s">
        <v>1241</v>
      </c>
      <c r="H506" t="s">
        <v>1242</v>
      </c>
      <c r="I506" s="6">
        <v>8</v>
      </c>
      <c r="J506" t="s">
        <v>71</v>
      </c>
      <c r="K506" t="s">
        <v>1243</v>
      </c>
    </row>
    <row r="507" spans="1:11">
      <c r="A507" t="s">
        <v>1244</v>
      </c>
      <c r="B507" s="5">
        <v>46217</v>
      </c>
      <c r="C507" t="s">
        <v>1236</v>
      </c>
      <c r="D507" t="s">
        <v>67</v>
      </c>
      <c r="E507" t="s">
        <v>26</v>
      </c>
      <c r="F507" t="s">
        <v>68</v>
      </c>
      <c r="G507" t="s">
        <v>1245</v>
      </c>
      <c r="H507" t="s">
        <v>1246</v>
      </c>
      <c r="I507" s="6">
        <v>8</v>
      </c>
      <c r="J507" t="s">
        <v>71</v>
      </c>
      <c r="K507" t="s">
        <v>1247</v>
      </c>
    </row>
    <row r="508" spans="1:11">
      <c r="A508" t="s">
        <v>1248</v>
      </c>
      <c r="B508" s="5">
        <v>46204</v>
      </c>
      <c r="C508" t="s">
        <v>1249</v>
      </c>
      <c r="D508" t="s">
        <v>67</v>
      </c>
      <c r="E508" t="s">
        <v>40</v>
      </c>
      <c r="F508" t="s">
        <v>68</v>
      </c>
      <c r="G508" t="s">
        <v>74</v>
      </c>
      <c r="H508" t="s">
        <v>75</v>
      </c>
      <c r="I508" s="6">
        <v>9.5</v>
      </c>
      <c r="J508" t="s">
        <v>71</v>
      </c>
      <c r="K508" t="s">
        <v>286</v>
      </c>
    </row>
    <row r="509" spans="1:11">
      <c r="A509" t="s">
        <v>1250</v>
      </c>
      <c r="B509" s="5">
        <v>46205</v>
      </c>
      <c r="C509" t="s">
        <v>1249</v>
      </c>
      <c r="D509" t="s">
        <v>67</v>
      </c>
      <c r="E509" t="s">
        <v>40</v>
      </c>
      <c r="F509" t="s">
        <v>68</v>
      </c>
      <c r="G509" t="s">
        <v>74</v>
      </c>
      <c r="H509" t="s">
        <v>75</v>
      </c>
      <c r="I509" s="6">
        <v>9.5</v>
      </c>
      <c r="J509" t="s">
        <v>71</v>
      </c>
      <c r="K509" t="s">
        <v>286</v>
      </c>
    </row>
    <row r="510" spans="1:11">
      <c r="A510" t="s">
        <v>1251</v>
      </c>
      <c r="B510" s="5">
        <v>46206</v>
      </c>
      <c r="C510" t="s">
        <v>1249</v>
      </c>
      <c r="D510" t="s">
        <v>67</v>
      </c>
      <c r="E510" t="s">
        <v>40</v>
      </c>
      <c r="F510" t="s">
        <v>68</v>
      </c>
      <c r="G510" t="s">
        <v>74</v>
      </c>
      <c r="H510" t="s">
        <v>75</v>
      </c>
      <c r="I510" s="6">
        <v>8.5</v>
      </c>
      <c r="J510" t="s">
        <v>71</v>
      </c>
      <c r="K510" t="s">
        <v>289</v>
      </c>
    </row>
    <row r="511" spans="1:11">
      <c r="A511" t="s">
        <v>1252</v>
      </c>
      <c r="B511" s="5">
        <v>46209</v>
      </c>
      <c r="C511" t="s">
        <v>1249</v>
      </c>
      <c r="D511" t="s">
        <v>67</v>
      </c>
      <c r="E511" t="s">
        <v>40</v>
      </c>
      <c r="F511" t="s">
        <v>68</v>
      </c>
      <c r="G511" t="s">
        <v>74</v>
      </c>
      <c r="H511" t="s">
        <v>75</v>
      </c>
      <c r="I511" s="6">
        <v>11.5</v>
      </c>
      <c r="J511" t="s">
        <v>71</v>
      </c>
      <c r="K511" t="s">
        <v>80</v>
      </c>
    </row>
    <row r="512" spans="1:11">
      <c r="A512" t="s">
        <v>1253</v>
      </c>
      <c r="B512" s="5">
        <v>46210</v>
      </c>
      <c r="C512" t="s">
        <v>1249</v>
      </c>
      <c r="D512" t="s">
        <v>67</v>
      </c>
      <c r="E512" t="s">
        <v>40</v>
      </c>
      <c r="F512" t="s">
        <v>68</v>
      </c>
      <c r="G512" t="s">
        <v>74</v>
      </c>
      <c r="H512" t="s">
        <v>75</v>
      </c>
      <c r="I512" s="6">
        <v>10</v>
      </c>
      <c r="J512" t="s">
        <v>71</v>
      </c>
      <c r="K512" t="s">
        <v>878</v>
      </c>
    </row>
    <row r="513" spans="1:11">
      <c r="A513" t="s">
        <v>1254</v>
      </c>
      <c r="B513" s="5">
        <v>46211</v>
      </c>
      <c r="C513" t="s">
        <v>1249</v>
      </c>
      <c r="D513" t="s">
        <v>67</v>
      </c>
      <c r="E513" t="s">
        <v>40</v>
      </c>
      <c r="F513" t="s">
        <v>68</v>
      </c>
      <c r="G513" t="s">
        <v>74</v>
      </c>
      <c r="H513" t="s">
        <v>75</v>
      </c>
      <c r="I513" s="6">
        <v>10</v>
      </c>
      <c r="J513" t="s">
        <v>71</v>
      </c>
      <c r="K513" t="s">
        <v>878</v>
      </c>
    </row>
    <row r="514" spans="1:11">
      <c r="A514" t="s">
        <v>1255</v>
      </c>
      <c r="B514" s="5">
        <v>46212</v>
      </c>
      <c r="C514" t="s">
        <v>1249</v>
      </c>
      <c r="D514" t="s">
        <v>67</v>
      </c>
      <c r="E514" t="s">
        <v>40</v>
      </c>
      <c r="F514" t="s">
        <v>68</v>
      </c>
      <c r="G514" t="s">
        <v>74</v>
      </c>
      <c r="H514" t="s">
        <v>75</v>
      </c>
      <c r="I514" s="6">
        <v>9.5</v>
      </c>
      <c r="J514" t="s">
        <v>71</v>
      </c>
      <c r="K514" t="s">
        <v>286</v>
      </c>
    </row>
    <row r="515" spans="1:11">
      <c r="A515" t="s">
        <v>1256</v>
      </c>
      <c r="B515" s="5">
        <v>46213</v>
      </c>
      <c r="C515" t="s">
        <v>1249</v>
      </c>
      <c r="D515" t="s">
        <v>67</v>
      </c>
      <c r="E515" t="s">
        <v>40</v>
      </c>
      <c r="F515" t="s">
        <v>68</v>
      </c>
      <c r="G515" t="s">
        <v>74</v>
      </c>
      <c r="H515" t="s">
        <v>75</v>
      </c>
      <c r="I515" s="6">
        <v>9.5</v>
      </c>
      <c r="J515" t="s">
        <v>71</v>
      </c>
      <c r="K515" t="s">
        <v>286</v>
      </c>
    </row>
    <row r="516" spans="1:11">
      <c r="A516" t="s">
        <v>1257</v>
      </c>
      <c r="B516" s="5">
        <v>46216</v>
      </c>
      <c r="C516" t="s">
        <v>1249</v>
      </c>
      <c r="D516" t="s">
        <v>67</v>
      </c>
      <c r="E516" t="s">
        <v>40</v>
      </c>
      <c r="F516" t="s">
        <v>68</v>
      </c>
      <c r="G516" t="s">
        <v>292</v>
      </c>
      <c r="H516" t="s">
        <v>293</v>
      </c>
      <c r="I516" s="6">
        <v>9.5</v>
      </c>
      <c r="J516" t="s">
        <v>71</v>
      </c>
      <c r="K516" t="s">
        <v>1258</v>
      </c>
    </row>
    <row r="517" spans="1:11">
      <c r="A517" t="s">
        <v>1259</v>
      </c>
      <c r="B517" s="5">
        <v>46217</v>
      </c>
      <c r="C517" t="s">
        <v>1249</v>
      </c>
      <c r="D517" t="s">
        <v>67</v>
      </c>
      <c r="E517" t="s">
        <v>40</v>
      </c>
      <c r="F517" t="s">
        <v>68</v>
      </c>
      <c r="G517" t="s">
        <v>292</v>
      </c>
      <c r="H517" t="s">
        <v>293</v>
      </c>
      <c r="I517" s="6">
        <v>8.5</v>
      </c>
      <c r="J517" t="s">
        <v>71</v>
      </c>
      <c r="K517" t="s">
        <v>294</v>
      </c>
    </row>
    <row r="518" spans="1:11">
      <c r="A518" t="s">
        <v>1260</v>
      </c>
      <c r="B518" s="5">
        <v>46218</v>
      </c>
      <c r="C518" t="s">
        <v>1249</v>
      </c>
      <c r="D518" t="s">
        <v>67</v>
      </c>
      <c r="E518" t="s">
        <v>40</v>
      </c>
      <c r="F518" t="s">
        <v>68</v>
      </c>
      <c r="G518" t="s">
        <v>292</v>
      </c>
      <c r="H518" t="s">
        <v>293</v>
      </c>
      <c r="I518" s="6">
        <v>8.5</v>
      </c>
      <c r="J518" t="s">
        <v>71</v>
      </c>
      <c r="K518" t="s">
        <v>294</v>
      </c>
    </row>
    <row r="519" spans="1:11">
      <c r="A519" t="s">
        <v>1261</v>
      </c>
      <c r="B519" s="5">
        <v>46204</v>
      </c>
      <c r="C519" t="s">
        <v>1262</v>
      </c>
      <c r="D519" t="s">
        <v>67</v>
      </c>
      <c r="E519" t="s">
        <v>28</v>
      </c>
      <c r="F519" t="s">
        <v>179</v>
      </c>
      <c r="G519" t="s">
        <v>1263</v>
      </c>
      <c r="H519" t="s">
        <v>1264</v>
      </c>
      <c r="I519" s="6">
        <v>12</v>
      </c>
      <c r="J519" t="s">
        <v>71</v>
      </c>
      <c r="K519" t="s">
        <v>1265</v>
      </c>
    </row>
    <row r="520" spans="1:11">
      <c r="A520" t="s">
        <v>1266</v>
      </c>
      <c r="B520" s="5">
        <v>46205</v>
      </c>
      <c r="C520" t="s">
        <v>1262</v>
      </c>
      <c r="D520" t="s">
        <v>67</v>
      </c>
      <c r="E520" t="s">
        <v>28</v>
      </c>
      <c r="F520" t="s">
        <v>179</v>
      </c>
      <c r="G520" t="s">
        <v>1263</v>
      </c>
      <c r="H520" t="s">
        <v>1264</v>
      </c>
      <c r="I520" s="6">
        <v>12</v>
      </c>
      <c r="J520" t="s">
        <v>71</v>
      </c>
      <c r="K520" t="s">
        <v>1265</v>
      </c>
    </row>
    <row r="521" spans="1:11">
      <c r="A521" t="s">
        <v>1267</v>
      </c>
      <c r="B521" s="5">
        <v>46206</v>
      </c>
      <c r="C521" t="s">
        <v>1262</v>
      </c>
      <c r="D521" t="s">
        <v>67</v>
      </c>
      <c r="E521" t="s">
        <v>28</v>
      </c>
      <c r="F521" t="s">
        <v>179</v>
      </c>
      <c r="G521" t="s">
        <v>1263</v>
      </c>
      <c r="H521" t="s">
        <v>1264</v>
      </c>
      <c r="I521" s="6">
        <v>12</v>
      </c>
      <c r="J521" t="s">
        <v>71</v>
      </c>
      <c r="K521" t="s">
        <v>1265</v>
      </c>
    </row>
    <row r="522" spans="1:11">
      <c r="A522" t="s">
        <v>1268</v>
      </c>
      <c r="B522" s="5">
        <v>46209</v>
      </c>
      <c r="C522" t="s">
        <v>1262</v>
      </c>
      <c r="D522" t="s">
        <v>67</v>
      </c>
      <c r="E522" t="s">
        <v>28</v>
      </c>
      <c r="F522" t="s">
        <v>179</v>
      </c>
      <c r="G522" t="s">
        <v>1263</v>
      </c>
      <c r="H522" t="s">
        <v>1264</v>
      </c>
      <c r="I522" s="6">
        <v>12</v>
      </c>
      <c r="J522" t="s">
        <v>71</v>
      </c>
      <c r="K522" t="s">
        <v>1265</v>
      </c>
    </row>
    <row r="523" spans="1:11">
      <c r="A523" t="s">
        <v>1269</v>
      </c>
      <c r="B523" s="5">
        <v>46210</v>
      </c>
      <c r="C523" t="s">
        <v>1262</v>
      </c>
      <c r="D523" t="s">
        <v>67</v>
      </c>
      <c r="E523" t="s">
        <v>28</v>
      </c>
      <c r="F523" t="s">
        <v>179</v>
      </c>
      <c r="G523" t="s">
        <v>1263</v>
      </c>
      <c r="H523" t="s">
        <v>1264</v>
      </c>
      <c r="I523" s="6">
        <v>12</v>
      </c>
      <c r="J523" t="s">
        <v>71</v>
      </c>
      <c r="K523" t="s">
        <v>1265</v>
      </c>
    </row>
    <row r="524" spans="1:11">
      <c r="A524" t="s">
        <v>1270</v>
      </c>
      <c r="B524" s="5">
        <v>46211</v>
      </c>
      <c r="C524" t="s">
        <v>1262</v>
      </c>
      <c r="D524" t="s">
        <v>67</v>
      </c>
      <c r="E524" t="s">
        <v>28</v>
      </c>
      <c r="F524" t="s">
        <v>179</v>
      </c>
      <c r="G524" t="s">
        <v>1263</v>
      </c>
      <c r="H524" t="s">
        <v>1264</v>
      </c>
      <c r="I524" s="6">
        <v>12</v>
      </c>
      <c r="J524" t="s">
        <v>71</v>
      </c>
      <c r="K524" t="s">
        <v>1265</v>
      </c>
    </row>
    <row r="525" spans="1:11">
      <c r="A525" t="s">
        <v>1271</v>
      </c>
      <c r="B525" s="5">
        <v>46212</v>
      </c>
      <c r="C525" t="s">
        <v>1262</v>
      </c>
      <c r="D525" t="s">
        <v>67</v>
      </c>
      <c r="E525" t="s">
        <v>28</v>
      </c>
      <c r="F525" t="s">
        <v>179</v>
      </c>
      <c r="G525" t="s">
        <v>1263</v>
      </c>
      <c r="H525" t="s">
        <v>1264</v>
      </c>
      <c r="I525" s="6">
        <v>12</v>
      </c>
      <c r="J525" t="s">
        <v>71</v>
      </c>
      <c r="K525" t="s">
        <v>1265</v>
      </c>
    </row>
    <row r="526" spans="1:11">
      <c r="A526" t="s">
        <v>1272</v>
      </c>
      <c r="B526" s="5">
        <v>46213</v>
      </c>
      <c r="C526" t="s">
        <v>1262</v>
      </c>
      <c r="D526" t="s">
        <v>67</v>
      </c>
      <c r="E526" t="s">
        <v>28</v>
      </c>
      <c r="F526" t="s">
        <v>179</v>
      </c>
      <c r="G526" t="s">
        <v>1263</v>
      </c>
      <c r="H526" t="s">
        <v>1264</v>
      </c>
      <c r="I526" s="6">
        <v>12</v>
      </c>
      <c r="J526" t="s">
        <v>71</v>
      </c>
      <c r="K526" t="s">
        <v>1265</v>
      </c>
    </row>
    <row r="527" spans="1:11">
      <c r="A527" t="s">
        <v>1273</v>
      </c>
      <c r="B527" s="5">
        <v>46216</v>
      </c>
      <c r="C527" t="s">
        <v>1262</v>
      </c>
      <c r="D527" t="s">
        <v>67</v>
      </c>
      <c r="E527" t="s">
        <v>28</v>
      </c>
      <c r="F527" t="s">
        <v>179</v>
      </c>
      <c r="G527" t="s">
        <v>1263</v>
      </c>
      <c r="H527" t="s">
        <v>1264</v>
      </c>
      <c r="I527" s="6">
        <v>12</v>
      </c>
      <c r="J527" t="s">
        <v>71</v>
      </c>
      <c r="K527" t="s">
        <v>1265</v>
      </c>
    </row>
    <row r="528" spans="1:11">
      <c r="A528" t="s">
        <v>1274</v>
      </c>
      <c r="B528" s="5">
        <v>46217</v>
      </c>
      <c r="C528" t="s">
        <v>1262</v>
      </c>
      <c r="D528" t="s">
        <v>67</v>
      </c>
      <c r="E528" t="s">
        <v>28</v>
      </c>
      <c r="F528" t="s">
        <v>179</v>
      </c>
      <c r="G528" t="s">
        <v>1263</v>
      </c>
      <c r="H528" t="s">
        <v>1264</v>
      </c>
      <c r="I528" s="6">
        <v>12</v>
      </c>
      <c r="J528" t="s">
        <v>71</v>
      </c>
      <c r="K528" t="s">
        <v>1265</v>
      </c>
    </row>
    <row r="529" spans="1:11">
      <c r="A529" t="s">
        <v>1275</v>
      </c>
      <c r="B529" s="5">
        <v>46218</v>
      </c>
      <c r="C529" t="s">
        <v>1262</v>
      </c>
      <c r="D529" t="s">
        <v>67</v>
      </c>
      <c r="E529" t="s">
        <v>28</v>
      </c>
      <c r="F529" t="s">
        <v>179</v>
      </c>
      <c r="G529" t="s">
        <v>1263</v>
      </c>
      <c r="H529" t="s">
        <v>1264</v>
      </c>
      <c r="I529" s="6">
        <v>12</v>
      </c>
      <c r="J529" t="s">
        <v>71</v>
      </c>
      <c r="K529" t="s">
        <v>1265</v>
      </c>
    </row>
    <row r="530" spans="1:11">
      <c r="A530" t="s">
        <v>1276</v>
      </c>
      <c r="B530" s="5">
        <v>46204</v>
      </c>
      <c r="C530" t="s">
        <v>1277</v>
      </c>
      <c r="D530" t="s">
        <v>67</v>
      </c>
      <c r="E530" t="s">
        <v>28</v>
      </c>
      <c r="F530" t="s">
        <v>68</v>
      </c>
      <c r="G530" t="s">
        <v>350</v>
      </c>
      <c r="H530" t="s">
        <v>351</v>
      </c>
      <c r="I530" s="6">
        <v>8.75</v>
      </c>
      <c r="J530" t="s">
        <v>194</v>
      </c>
      <c r="K530" t="s">
        <v>1278</v>
      </c>
    </row>
    <row r="531" spans="1:11">
      <c r="A531" t="s">
        <v>1279</v>
      </c>
      <c r="B531" s="5">
        <v>46205</v>
      </c>
      <c r="C531" t="s">
        <v>1277</v>
      </c>
      <c r="D531" t="s">
        <v>67</v>
      </c>
      <c r="E531" t="s">
        <v>28</v>
      </c>
      <c r="F531" t="s">
        <v>68</v>
      </c>
      <c r="G531" t="s">
        <v>1280</v>
      </c>
      <c r="H531" t="s">
        <v>212</v>
      </c>
      <c r="I531" s="6">
        <v>8.5</v>
      </c>
      <c r="J531" t="s">
        <v>71</v>
      </c>
      <c r="K531" t="s">
        <v>1281</v>
      </c>
    </row>
    <row r="532" spans="1:11">
      <c r="A532" t="s">
        <v>1282</v>
      </c>
      <c r="B532" s="5">
        <v>46209</v>
      </c>
      <c r="C532" t="s">
        <v>1277</v>
      </c>
      <c r="D532" t="s">
        <v>67</v>
      </c>
      <c r="E532" t="s">
        <v>28</v>
      </c>
      <c r="F532" t="s">
        <v>68</v>
      </c>
      <c r="G532" t="s">
        <v>1283</v>
      </c>
      <c r="H532" t="s">
        <v>1284</v>
      </c>
      <c r="I532" s="6">
        <v>9</v>
      </c>
      <c r="J532" t="s">
        <v>95</v>
      </c>
      <c r="K532" t="s">
        <v>1285</v>
      </c>
    </row>
    <row r="533" spans="1:11">
      <c r="A533" t="s">
        <v>1286</v>
      </c>
      <c r="B533" s="5">
        <v>46210</v>
      </c>
      <c r="C533" t="s">
        <v>1277</v>
      </c>
      <c r="D533" t="s">
        <v>67</v>
      </c>
      <c r="E533" t="s">
        <v>28</v>
      </c>
      <c r="F533" t="s">
        <v>82</v>
      </c>
      <c r="G533" t="s">
        <v>356</v>
      </c>
      <c r="H533" t="s">
        <v>357</v>
      </c>
      <c r="I533" s="6">
        <v>10</v>
      </c>
      <c r="J533" t="s">
        <v>71</v>
      </c>
      <c r="K533" t="s">
        <v>1287</v>
      </c>
    </row>
    <row r="534" spans="1:11">
      <c r="A534" t="s">
        <v>1288</v>
      </c>
      <c r="B534" s="5">
        <v>46211</v>
      </c>
      <c r="C534" t="s">
        <v>1277</v>
      </c>
      <c r="D534" t="s">
        <v>67</v>
      </c>
      <c r="E534" t="s">
        <v>28</v>
      </c>
      <c r="F534" t="s">
        <v>68</v>
      </c>
      <c r="G534" t="s">
        <v>1289</v>
      </c>
      <c r="H534" t="s">
        <v>1290</v>
      </c>
      <c r="I534" s="6">
        <v>11.5</v>
      </c>
      <c r="J534" t="s">
        <v>71</v>
      </c>
      <c r="K534" t="s">
        <v>1291</v>
      </c>
    </row>
    <row r="535" spans="1:11">
      <c r="A535" t="s">
        <v>1292</v>
      </c>
      <c r="B535" s="5">
        <v>46213</v>
      </c>
      <c r="C535" t="s">
        <v>1277</v>
      </c>
      <c r="D535" t="s">
        <v>67</v>
      </c>
      <c r="E535" t="s">
        <v>28</v>
      </c>
      <c r="F535" t="s">
        <v>68</v>
      </c>
      <c r="G535" t="s">
        <v>1293</v>
      </c>
      <c r="H535" t="s">
        <v>1294</v>
      </c>
      <c r="I535" s="6">
        <v>6.58</v>
      </c>
      <c r="J535" t="s">
        <v>194</v>
      </c>
      <c r="K535" t="s">
        <v>1295</v>
      </c>
    </row>
    <row r="536" spans="1:11">
      <c r="A536" t="s">
        <v>1296</v>
      </c>
      <c r="B536" s="5">
        <v>46214</v>
      </c>
      <c r="C536" t="s">
        <v>1277</v>
      </c>
      <c r="D536" t="s">
        <v>67</v>
      </c>
      <c r="E536" t="s">
        <v>28</v>
      </c>
      <c r="F536" t="s">
        <v>68</v>
      </c>
      <c r="G536" t="s">
        <v>362</v>
      </c>
      <c r="H536" t="s">
        <v>363</v>
      </c>
      <c r="I536" s="6">
        <v>7</v>
      </c>
      <c r="J536" t="s">
        <v>71</v>
      </c>
      <c r="K536" t="s">
        <v>478</v>
      </c>
    </row>
    <row r="537" spans="1:11">
      <c r="A537" t="s">
        <v>1297</v>
      </c>
      <c r="B537" s="5">
        <v>46217</v>
      </c>
      <c r="C537" t="s">
        <v>1277</v>
      </c>
      <c r="D537" t="s">
        <v>67</v>
      </c>
      <c r="E537" t="s">
        <v>40</v>
      </c>
      <c r="F537" t="s">
        <v>68</v>
      </c>
      <c r="G537" t="s">
        <v>372</v>
      </c>
      <c r="H537" t="s">
        <v>373</v>
      </c>
      <c r="I537" s="6">
        <v>2.75</v>
      </c>
      <c r="J537" t="s">
        <v>71</v>
      </c>
      <c r="K537" t="s">
        <v>1298</v>
      </c>
    </row>
    <row r="538" spans="1:11">
      <c r="A538" t="s">
        <v>1299</v>
      </c>
      <c r="B538" s="5">
        <v>46218</v>
      </c>
      <c r="C538" t="s">
        <v>1277</v>
      </c>
      <c r="D538" t="s">
        <v>67</v>
      </c>
      <c r="E538" t="s">
        <v>28</v>
      </c>
      <c r="F538" t="s">
        <v>68</v>
      </c>
      <c r="G538" t="s">
        <v>219</v>
      </c>
      <c r="H538" t="s">
        <v>220</v>
      </c>
      <c r="I538" s="6">
        <v>8</v>
      </c>
      <c r="J538" t="s">
        <v>71</v>
      </c>
      <c r="K538" t="s">
        <v>283</v>
      </c>
    </row>
    <row r="539" spans="1:11">
      <c r="A539" t="s">
        <v>1300</v>
      </c>
      <c r="B539" s="5">
        <v>46204</v>
      </c>
      <c r="C539" t="s">
        <v>1301</v>
      </c>
      <c r="D539" t="s">
        <v>67</v>
      </c>
      <c r="E539" t="s">
        <v>17</v>
      </c>
      <c r="F539" t="s">
        <v>179</v>
      </c>
      <c r="G539" t="s">
        <v>1302</v>
      </c>
      <c r="H539" t="s">
        <v>1303</v>
      </c>
      <c r="I539" s="6">
        <v>8.5</v>
      </c>
      <c r="J539" t="s">
        <v>71</v>
      </c>
      <c r="K539" t="s">
        <v>1304</v>
      </c>
    </row>
    <row r="540" spans="1:11">
      <c r="A540" t="s">
        <v>1305</v>
      </c>
      <c r="B540" s="5">
        <v>46205</v>
      </c>
      <c r="C540" t="s">
        <v>1301</v>
      </c>
      <c r="D540" t="s">
        <v>67</v>
      </c>
      <c r="E540" t="s">
        <v>17</v>
      </c>
      <c r="F540" t="s">
        <v>179</v>
      </c>
      <c r="G540" t="s">
        <v>1198</v>
      </c>
      <c r="H540" t="s">
        <v>1199</v>
      </c>
      <c r="I540" s="6">
        <v>4.5</v>
      </c>
      <c r="J540" t="s">
        <v>71</v>
      </c>
      <c r="K540" t="s">
        <v>1306</v>
      </c>
    </row>
    <row r="541" spans="1:11">
      <c r="A541" t="s">
        <v>1307</v>
      </c>
      <c r="B541" s="5">
        <v>46206</v>
      </c>
      <c r="C541" t="s">
        <v>1301</v>
      </c>
      <c r="D541" t="s">
        <v>67</v>
      </c>
      <c r="E541" t="s">
        <v>17</v>
      </c>
      <c r="F541" t="s">
        <v>179</v>
      </c>
      <c r="G541" t="s">
        <v>252</v>
      </c>
      <c r="H541" t="s">
        <v>249</v>
      </c>
      <c r="I541" s="6">
        <v>8.5</v>
      </c>
      <c r="J541" t="s">
        <v>71</v>
      </c>
      <c r="K541" t="s">
        <v>439</v>
      </c>
    </row>
    <row r="542" spans="1:11">
      <c r="A542" t="s">
        <v>1308</v>
      </c>
      <c r="B542" s="5">
        <v>46209</v>
      </c>
      <c r="C542" t="s">
        <v>1301</v>
      </c>
      <c r="D542" t="s">
        <v>67</v>
      </c>
      <c r="E542" t="s">
        <v>24</v>
      </c>
      <c r="F542" t="s">
        <v>179</v>
      </c>
      <c r="G542" t="s">
        <v>442</v>
      </c>
      <c r="H542" t="s">
        <v>443</v>
      </c>
      <c r="I542" s="6">
        <v>12</v>
      </c>
      <c r="J542" t="s">
        <v>71</v>
      </c>
      <c r="K542" t="s">
        <v>1309</v>
      </c>
    </row>
    <row r="543" spans="1:11">
      <c r="A543" t="s">
        <v>1310</v>
      </c>
      <c r="B543" s="5">
        <v>46210</v>
      </c>
      <c r="C543" t="s">
        <v>1301</v>
      </c>
      <c r="D543" t="s">
        <v>67</v>
      </c>
      <c r="E543" t="s">
        <v>17</v>
      </c>
      <c r="F543" t="s">
        <v>179</v>
      </c>
      <c r="G543" t="s">
        <v>244</v>
      </c>
      <c r="H543" t="s">
        <v>245</v>
      </c>
      <c r="I543" s="6">
        <v>6</v>
      </c>
      <c r="J543" t="s">
        <v>71</v>
      </c>
      <c r="K543" t="s">
        <v>1311</v>
      </c>
    </row>
    <row r="544" spans="1:11">
      <c r="A544" t="s">
        <v>1312</v>
      </c>
      <c r="B544" s="5">
        <v>46213</v>
      </c>
      <c r="C544" t="s">
        <v>1301</v>
      </c>
      <c r="D544" t="s">
        <v>67</v>
      </c>
      <c r="E544" t="s">
        <v>17</v>
      </c>
      <c r="F544" t="s">
        <v>179</v>
      </c>
      <c r="G544" t="s">
        <v>244</v>
      </c>
      <c r="H544" t="s">
        <v>245</v>
      </c>
      <c r="I544" s="6">
        <v>5</v>
      </c>
      <c r="J544" t="s">
        <v>71</v>
      </c>
      <c r="K544" t="s">
        <v>1313</v>
      </c>
    </row>
    <row r="545" spans="1:11">
      <c r="A545" t="s">
        <v>1314</v>
      </c>
      <c r="B545" s="5">
        <v>46204</v>
      </c>
      <c r="C545" t="s">
        <v>1315</v>
      </c>
      <c r="D545" t="s">
        <v>67</v>
      </c>
      <c r="E545" t="s">
        <v>40</v>
      </c>
      <c r="F545" t="s">
        <v>68</v>
      </c>
      <c r="G545" t="s">
        <v>413</v>
      </c>
      <c r="H545" t="s">
        <v>414</v>
      </c>
      <c r="I545" s="6">
        <v>8.5</v>
      </c>
      <c r="J545" t="s">
        <v>71</v>
      </c>
      <c r="K545" t="s">
        <v>687</v>
      </c>
    </row>
    <row r="546" spans="1:11">
      <c r="A546" t="s">
        <v>1316</v>
      </c>
      <c r="B546" s="5">
        <v>46205</v>
      </c>
      <c r="C546" t="s">
        <v>1315</v>
      </c>
      <c r="D546" t="s">
        <v>67</v>
      </c>
      <c r="E546" t="s">
        <v>40</v>
      </c>
      <c r="F546" t="s">
        <v>68</v>
      </c>
      <c r="G546" t="s">
        <v>582</v>
      </c>
      <c r="H546" t="s">
        <v>583</v>
      </c>
      <c r="I546" s="6">
        <v>8</v>
      </c>
      <c r="J546" t="s">
        <v>71</v>
      </c>
      <c r="K546" t="s">
        <v>1317</v>
      </c>
    </row>
    <row r="547" spans="1:11">
      <c r="A547" t="s">
        <v>1318</v>
      </c>
      <c r="B547" s="5">
        <v>46206</v>
      </c>
      <c r="C547" t="s">
        <v>1315</v>
      </c>
      <c r="D547" t="s">
        <v>67</v>
      </c>
      <c r="E547" t="s">
        <v>40</v>
      </c>
      <c r="F547" t="s">
        <v>68</v>
      </c>
      <c r="G547" t="s">
        <v>74</v>
      </c>
      <c r="H547" t="s">
        <v>75</v>
      </c>
      <c r="I547" s="6">
        <v>8.5</v>
      </c>
      <c r="J547" t="s">
        <v>71</v>
      </c>
      <c r="K547" t="s">
        <v>289</v>
      </c>
    </row>
    <row r="548" spans="1:11">
      <c r="A548" t="s">
        <v>1319</v>
      </c>
      <c r="B548" s="5">
        <v>46209</v>
      </c>
      <c r="C548" t="s">
        <v>1315</v>
      </c>
      <c r="D548" t="s">
        <v>67</v>
      </c>
      <c r="E548" t="s">
        <v>40</v>
      </c>
      <c r="F548" t="s">
        <v>68</v>
      </c>
      <c r="G548" t="s">
        <v>74</v>
      </c>
      <c r="H548" t="s">
        <v>75</v>
      </c>
      <c r="I548" s="6">
        <v>11.5</v>
      </c>
      <c r="J548" t="s">
        <v>71</v>
      </c>
      <c r="K548" t="s">
        <v>80</v>
      </c>
    </row>
    <row r="549" spans="1:11">
      <c r="A549" t="s">
        <v>1320</v>
      </c>
      <c r="B549" s="5">
        <v>46210</v>
      </c>
      <c r="C549" t="s">
        <v>1315</v>
      </c>
      <c r="D549" t="s">
        <v>67</v>
      </c>
      <c r="E549" t="s">
        <v>40</v>
      </c>
      <c r="F549" t="s">
        <v>68</v>
      </c>
      <c r="G549" t="s">
        <v>74</v>
      </c>
      <c r="H549" t="s">
        <v>75</v>
      </c>
      <c r="I549" s="6">
        <v>10</v>
      </c>
      <c r="J549" t="s">
        <v>71</v>
      </c>
      <c r="K549" t="s">
        <v>878</v>
      </c>
    </row>
    <row r="550" spans="1:11">
      <c r="A550" t="s">
        <v>1321</v>
      </c>
      <c r="B550" s="5">
        <v>46212</v>
      </c>
      <c r="C550" t="s">
        <v>1315</v>
      </c>
      <c r="D550" t="s">
        <v>67</v>
      </c>
      <c r="E550" t="s">
        <v>40</v>
      </c>
      <c r="F550" t="s">
        <v>68</v>
      </c>
      <c r="G550" t="s">
        <v>231</v>
      </c>
      <c r="H550" t="s">
        <v>232</v>
      </c>
      <c r="I550" s="6">
        <v>7.5</v>
      </c>
      <c r="J550" t="s">
        <v>71</v>
      </c>
      <c r="K550" t="s">
        <v>233</v>
      </c>
    </row>
    <row r="551" spans="1:11">
      <c r="A551" t="s">
        <v>1322</v>
      </c>
      <c r="B551" s="5">
        <v>46213</v>
      </c>
      <c r="C551" t="s">
        <v>1315</v>
      </c>
      <c r="D551" t="s">
        <v>67</v>
      </c>
      <c r="E551" t="s">
        <v>40</v>
      </c>
      <c r="F551" t="s">
        <v>68</v>
      </c>
      <c r="G551" t="s">
        <v>544</v>
      </c>
      <c r="H551" t="s">
        <v>118</v>
      </c>
      <c r="I551" s="6">
        <v>9</v>
      </c>
      <c r="J551" t="s">
        <v>71</v>
      </c>
      <c r="K551" t="s">
        <v>845</v>
      </c>
    </row>
    <row r="552" spans="1:11">
      <c r="A552" t="s">
        <v>1323</v>
      </c>
      <c r="B552" s="5">
        <v>46218</v>
      </c>
      <c r="C552" t="s">
        <v>1315</v>
      </c>
      <c r="D552" t="s">
        <v>67</v>
      </c>
      <c r="E552" t="s">
        <v>40</v>
      </c>
      <c r="F552" t="s">
        <v>68</v>
      </c>
      <c r="G552" t="s">
        <v>1324</v>
      </c>
      <c r="H552" t="s">
        <v>1325</v>
      </c>
      <c r="I552" s="6">
        <v>7.5</v>
      </c>
      <c r="J552" t="s">
        <v>71</v>
      </c>
      <c r="K552" t="s">
        <v>1326</v>
      </c>
    </row>
    <row r="553" spans="1:11">
      <c r="A553" t="s">
        <v>1327</v>
      </c>
      <c r="B553" s="5">
        <v>46204</v>
      </c>
      <c r="C553" t="s">
        <v>1328</v>
      </c>
      <c r="D553" t="s">
        <v>67</v>
      </c>
      <c r="E553" t="s">
        <v>40</v>
      </c>
      <c r="F553" t="s">
        <v>82</v>
      </c>
      <c r="G553" t="s">
        <v>1329</v>
      </c>
      <c r="H553" t="s">
        <v>70</v>
      </c>
      <c r="I553" s="6">
        <v>8</v>
      </c>
      <c r="J553" t="s">
        <v>71</v>
      </c>
      <c r="K553" t="s">
        <v>1330</v>
      </c>
    </row>
    <row r="554" spans="1:11">
      <c r="A554" t="s">
        <v>1331</v>
      </c>
      <c r="B554" s="5">
        <v>46205</v>
      </c>
      <c r="C554" t="s">
        <v>1328</v>
      </c>
      <c r="D554" t="s">
        <v>67</v>
      </c>
      <c r="E554" t="s">
        <v>40</v>
      </c>
      <c r="F554" t="s">
        <v>82</v>
      </c>
      <c r="G554" t="s">
        <v>74</v>
      </c>
      <c r="H554" t="s">
        <v>75</v>
      </c>
      <c r="I554" s="6">
        <v>5.5</v>
      </c>
      <c r="J554" t="s">
        <v>71</v>
      </c>
      <c r="K554" t="s">
        <v>870</v>
      </c>
    </row>
    <row r="555" spans="1:11">
      <c r="A555" t="s">
        <v>1332</v>
      </c>
      <c r="B555" s="5">
        <v>46206</v>
      </c>
      <c r="C555" t="s">
        <v>1328</v>
      </c>
      <c r="D555" t="s">
        <v>67</v>
      </c>
      <c r="E555" t="s">
        <v>40</v>
      </c>
      <c r="F555" t="s">
        <v>82</v>
      </c>
      <c r="G555" t="s">
        <v>74</v>
      </c>
      <c r="H555" t="s">
        <v>75</v>
      </c>
      <c r="I555" s="6">
        <v>17</v>
      </c>
      <c r="J555" t="s">
        <v>71</v>
      </c>
      <c r="K555" t="s">
        <v>1119</v>
      </c>
    </row>
    <row r="556" spans="1:11">
      <c r="A556" t="s">
        <v>1333</v>
      </c>
      <c r="B556" s="5">
        <v>46207</v>
      </c>
      <c r="C556" t="s">
        <v>1328</v>
      </c>
      <c r="D556" t="s">
        <v>67</v>
      </c>
      <c r="E556" t="s">
        <v>40</v>
      </c>
      <c r="F556" t="s">
        <v>82</v>
      </c>
      <c r="G556" t="s">
        <v>74</v>
      </c>
      <c r="H556" t="s">
        <v>75</v>
      </c>
      <c r="I556" s="6">
        <v>9</v>
      </c>
      <c r="J556" t="s">
        <v>71</v>
      </c>
      <c r="K556" t="s">
        <v>727</v>
      </c>
    </row>
    <row r="557" spans="1:11">
      <c r="A557" t="s">
        <v>1334</v>
      </c>
      <c r="B557" s="5">
        <v>46208</v>
      </c>
      <c r="C557" t="s">
        <v>1328</v>
      </c>
      <c r="D557" t="s">
        <v>67</v>
      </c>
      <c r="E557" t="s">
        <v>40</v>
      </c>
      <c r="F557" t="s">
        <v>82</v>
      </c>
      <c r="G557" t="s">
        <v>74</v>
      </c>
      <c r="H557" t="s">
        <v>75</v>
      </c>
      <c r="I557" s="6">
        <v>8.5</v>
      </c>
      <c r="J557" t="s">
        <v>71</v>
      </c>
      <c r="K557" t="s">
        <v>872</v>
      </c>
    </row>
    <row r="558" spans="1:11">
      <c r="A558" t="s">
        <v>1335</v>
      </c>
      <c r="B558" s="5">
        <v>46209</v>
      </c>
      <c r="C558" t="s">
        <v>1328</v>
      </c>
      <c r="D558" t="s">
        <v>67</v>
      </c>
      <c r="E558" t="s">
        <v>40</v>
      </c>
      <c r="F558" t="s">
        <v>82</v>
      </c>
      <c r="G558" t="s">
        <v>74</v>
      </c>
      <c r="H558" t="s">
        <v>75</v>
      </c>
      <c r="I558" s="6">
        <v>11.5</v>
      </c>
      <c r="J558" t="s">
        <v>71</v>
      </c>
      <c r="K558" t="s">
        <v>874</v>
      </c>
    </row>
    <row r="559" spans="1:11">
      <c r="A559" t="s">
        <v>1336</v>
      </c>
      <c r="B559" s="5">
        <v>46210</v>
      </c>
      <c r="C559" t="s">
        <v>1328</v>
      </c>
      <c r="D559" t="s">
        <v>67</v>
      </c>
      <c r="E559" t="s">
        <v>40</v>
      </c>
      <c r="F559" t="s">
        <v>82</v>
      </c>
      <c r="G559" t="s">
        <v>83</v>
      </c>
      <c r="H559" t="s">
        <v>84</v>
      </c>
      <c r="I559" s="6">
        <v>8.5</v>
      </c>
      <c r="J559" t="s">
        <v>71</v>
      </c>
      <c r="K559" t="s">
        <v>85</v>
      </c>
    </row>
    <row r="560" spans="1:11">
      <c r="A560" t="s">
        <v>1337</v>
      </c>
      <c r="B560" s="5">
        <v>46211</v>
      </c>
      <c r="C560" t="s">
        <v>1328</v>
      </c>
      <c r="D560" t="s">
        <v>67</v>
      </c>
      <c r="E560" t="s">
        <v>40</v>
      </c>
      <c r="F560" t="s">
        <v>68</v>
      </c>
      <c r="G560" t="s">
        <v>83</v>
      </c>
      <c r="H560" t="s">
        <v>84</v>
      </c>
      <c r="I560" s="6">
        <v>8</v>
      </c>
      <c r="J560" t="s">
        <v>71</v>
      </c>
      <c r="K560" t="s">
        <v>1338</v>
      </c>
    </row>
    <row r="561" spans="1:11">
      <c r="A561" t="s">
        <v>1339</v>
      </c>
      <c r="B561" s="5">
        <v>46218</v>
      </c>
      <c r="C561" t="s">
        <v>1328</v>
      </c>
      <c r="I561" s="6">
        <v>0</v>
      </c>
      <c r="J561" t="s">
        <v>680</v>
      </c>
      <c r="K561" t="s">
        <v>992</v>
      </c>
    </row>
    <row r="562" spans="1:11">
      <c r="A562" t="s">
        <v>1340</v>
      </c>
      <c r="B562" s="5">
        <v>46219</v>
      </c>
      <c r="C562" t="s">
        <v>1328</v>
      </c>
      <c r="I562" s="6">
        <v>0</v>
      </c>
      <c r="J562" t="s">
        <v>680</v>
      </c>
      <c r="K562" t="s">
        <v>992</v>
      </c>
    </row>
    <row r="563" spans="1:11">
      <c r="A563" t="s">
        <v>1341</v>
      </c>
      <c r="B563" s="5">
        <v>46204</v>
      </c>
      <c r="C563" t="s">
        <v>1342</v>
      </c>
      <c r="D563" t="s">
        <v>67</v>
      </c>
      <c r="E563" t="s">
        <v>24</v>
      </c>
      <c r="F563" t="s">
        <v>68</v>
      </c>
      <c r="G563" t="s">
        <v>812</v>
      </c>
      <c r="H563" t="s">
        <v>399</v>
      </c>
      <c r="I563" s="6">
        <v>9</v>
      </c>
      <c r="J563" t="s">
        <v>71</v>
      </c>
      <c r="K563" t="s">
        <v>813</v>
      </c>
    </row>
    <row r="564" spans="1:11">
      <c r="A564" t="s">
        <v>1343</v>
      </c>
      <c r="B564" s="5">
        <v>46209</v>
      </c>
      <c r="C564" t="s">
        <v>1342</v>
      </c>
      <c r="D564" t="s">
        <v>67</v>
      </c>
      <c r="E564" t="s">
        <v>24</v>
      </c>
      <c r="F564" t="s">
        <v>82</v>
      </c>
      <c r="G564" t="s">
        <v>384</v>
      </c>
      <c r="H564" t="s">
        <v>385</v>
      </c>
      <c r="I564" s="6">
        <v>6.5</v>
      </c>
      <c r="J564" t="s">
        <v>71</v>
      </c>
      <c r="K564" t="s">
        <v>1344</v>
      </c>
    </row>
    <row r="565" spans="1:11">
      <c r="A565" t="s">
        <v>1345</v>
      </c>
      <c r="B565" s="5">
        <v>46210</v>
      </c>
      <c r="C565" t="s">
        <v>1342</v>
      </c>
      <c r="D565" t="s">
        <v>67</v>
      </c>
      <c r="E565" t="s">
        <v>24</v>
      </c>
      <c r="F565" t="s">
        <v>82</v>
      </c>
      <c r="G565" t="s">
        <v>627</v>
      </c>
      <c r="H565" t="s">
        <v>628</v>
      </c>
      <c r="I565" s="6">
        <v>8</v>
      </c>
      <c r="J565" t="s">
        <v>71</v>
      </c>
      <c r="K565" t="s">
        <v>629</v>
      </c>
    </row>
    <row r="566" spans="1:11">
      <c r="A566" t="s">
        <v>1346</v>
      </c>
      <c r="B566" s="5">
        <v>46211</v>
      </c>
      <c r="C566" t="s">
        <v>1342</v>
      </c>
      <c r="D566" t="s">
        <v>67</v>
      </c>
      <c r="E566" t="s">
        <v>24</v>
      </c>
      <c r="F566" t="s">
        <v>82</v>
      </c>
      <c r="G566" t="s">
        <v>627</v>
      </c>
      <c r="H566" t="s">
        <v>628</v>
      </c>
      <c r="I566" s="6">
        <v>4</v>
      </c>
      <c r="J566" t="s">
        <v>71</v>
      </c>
      <c r="K566" t="s">
        <v>1347</v>
      </c>
    </row>
    <row r="567" spans="1:11">
      <c r="A567" t="s">
        <v>1348</v>
      </c>
      <c r="B567" s="5">
        <v>46212</v>
      </c>
      <c r="C567" t="s">
        <v>1342</v>
      </c>
      <c r="D567" t="s">
        <v>67</v>
      </c>
      <c r="E567" t="s">
        <v>24</v>
      </c>
      <c r="F567" t="s">
        <v>82</v>
      </c>
      <c r="G567" t="s">
        <v>627</v>
      </c>
      <c r="H567" t="s">
        <v>628</v>
      </c>
      <c r="I567" s="6">
        <v>7.5</v>
      </c>
      <c r="J567" t="s">
        <v>71</v>
      </c>
      <c r="K567" t="s">
        <v>1349</v>
      </c>
    </row>
    <row r="568" spans="1:11">
      <c r="A568" t="s">
        <v>1350</v>
      </c>
      <c r="B568" s="5">
        <v>46213</v>
      </c>
      <c r="C568" t="s">
        <v>1342</v>
      </c>
      <c r="D568" t="s">
        <v>67</v>
      </c>
      <c r="E568" t="s">
        <v>24</v>
      </c>
      <c r="F568" t="s">
        <v>82</v>
      </c>
      <c r="G568" t="s">
        <v>627</v>
      </c>
      <c r="H568" t="s">
        <v>628</v>
      </c>
      <c r="I568" s="6">
        <v>7.5</v>
      </c>
      <c r="J568" t="s">
        <v>71</v>
      </c>
      <c r="K568" t="s">
        <v>1349</v>
      </c>
    </row>
    <row r="569" spans="1:11">
      <c r="A569" t="s">
        <v>1351</v>
      </c>
      <c r="B569" s="5">
        <v>46218</v>
      </c>
      <c r="C569" t="s">
        <v>1342</v>
      </c>
      <c r="D569" t="s">
        <v>67</v>
      </c>
      <c r="E569" t="s">
        <v>24</v>
      </c>
      <c r="F569" t="s">
        <v>82</v>
      </c>
      <c r="G569" t="s">
        <v>627</v>
      </c>
      <c r="H569" t="s">
        <v>628</v>
      </c>
      <c r="I569" s="6">
        <v>8</v>
      </c>
      <c r="J569" t="s">
        <v>71</v>
      </c>
      <c r="K569" t="s">
        <v>629</v>
      </c>
    </row>
    <row r="570" spans="1:11">
      <c r="A570" t="s">
        <v>1352</v>
      </c>
      <c r="B570" s="5">
        <v>46204</v>
      </c>
      <c r="C570" t="s">
        <v>1353</v>
      </c>
      <c r="D570" t="s">
        <v>67</v>
      </c>
      <c r="E570" t="s">
        <v>40</v>
      </c>
      <c r="F570" t="s">
        <v>68</v>
      </c>
      <c r="G570" t="s">
        <v>1354</v>
      </c>
      <c r="H570" t="s">
        <v>99</v>
      </c>
      <c r="I570" s="6">
        <v>8.5</v>
      </c>
      <c r="J570" t="s">
        <v>71</v>
      </c>
      <c r="K570" t="s">
        <v>1355</v>
      </c>
    </row>
    <row r="571" spans="1:11">
      <c r="A571" t="s">
        <v>1356</v>
      </c>
      <c r="B571" s="5">
        <v>46205</v>
      </c>
      <c r="C571" t="s">
        <v>1353</v>
      </c>
      <c r="D571" t="s">
        <v>67</v>
      </c>
      <c r="E571" t="s">
        <v>40</v>
      </c>
      <c r="F571" t="s">
        <v>68</v>
      </c>
      <c r="G571" t="s">
        <v>1032</v>
      </c>
      <c r="H571" t="s">
        <v>317</v>
      </c>
      <c r="I571" s="6">
        <v>8.5</v>
      </c>
      <c r="J571" t="s">
        <v>71</v>
      </c>
      <c r="K571" t="s">
        <v>1033</v>
      </c>
    </row>
    <row r="572" spans="1:11">
      <c r="A572" t="s">
        <v>1357</v>
      </c>
      <c r="B572" s="5">
        <v>46206</v>
      </c>
      <c r="C572" t="s">
        <v>1353</v>
      </c>
      <c r="D572" t="s">
        <v>67</v>
      </c>
      <c r="E572" t="s">
        <v>40</v>
      </c>
      <c r="F572" t="s">
        <v>68</v>
      </c>
      <c r="G572" t="s">
        <v>1032</v>
      </c>
      <c r="H572" t="s">
        <v>317</v>
      </c>
      <c r="I572" s="6">
        <v>8.5</v>
      </c>
      <c r="J572" t="s">
        <v>71</v>
      </c>
      <c r="K572" t="s">
        <v>1033</v>
      </c>
    </row>
    <row r="573" spans="1:11">
      <c r="A573" t="s">
        <v>1358</v>
      </c>
      <c r="B573" s="5">
        <v>46207</v>
      </c>
      <c r="C573" t="s">
        <v>1353</v>
      </c>
      <c r="D573" t="s">
        <v>67</v>
      </c>
      <c r="E573" t="s">
        <v>40</v>
      </c>
      <c r="F573" t="s">
        <v>68</v>
      </c>
      <c r="G573" t="s">
        <v>565</v>
      </c>
      <c r="H573" t="s">
        <v>302</v>
      </c>
      <c r="I573" s="6">
        <v>8.5</v>
      </c>
      <c r="J573" t="s">
        <v>71</v>
      </c>
      <c r="K573" t="s">
        <v>1061</v>
      </c>
    </row>
    <row r="574" spans="1:11">
      <c r="A574" t="s">
        <v>1359</v>
      </c>
      <c r="B574" s="5">
        <v>46209</v>
      </c>
      <c r="C574" t="s">
        <v>1353</v>
      </c>
      <c r="D574" t="s">
        <v>67</v>
      </c>
      <c r="E574" t="s">
        <v>40</v>
      </c>
      <c r="F574" t="s">
        <v>68</v>
      </c>
      <c r="G574" t="s">
        <v>1032</v>
      </c>
      <c r="H574" t="s">
        <v>317</v>
      </c>
      <c r="I574" s="6">
        <v>8.5</v>
      </c>
      <c r="J574" t="s">
        <v>71</v>
      </c>
      <c r="K574" t="s">
        <v>1033</v>
      </c>
    </row>
    <row r="575" spans="1:11">
      <c r="A575" t="s">
        <v>1360</v>
      </c>
      <c r="B575" s="5">
        <v>46210</v>
      </c>
      <c r="C575" t="s">
        <v>1353</v>
      </c>
      <c r="D575" t="s">
        <v>67</v>
      </c>
      <c r="E575" t="s">
        <v>40</v>
      </c>
      <c r="F575" t="s">
        <v>68</v>
      </c>
      <c r="G575" t="s">
        <v>74</v>
      </c>
      <c r="H575" t="s">
        <v>75</v>
      </c>
      <c r="I575" s="6">
        <v>10</v>
      </c>
      <c r="J575" t="s">
        <v>71</v>
      </c>
      <c r="K575" t="s">
        <v>878</v>
      </c>
    </row>
    <row r="576" spans="1:11">
      <c r="A576" t="s">
        <v>1361</v>
      </c>
      <c r="B576" s="5">
        <v>46211</v>
      </c>
      <c r="C576" t="s">
        <v>1353</v>
      </c>
      <c r="D576" t="s">
        <v>67</v>
      </c>
      <c r="E576" t="s">
        <v>40</v>
      </c>
      <c r="F576" t="s">
        <v>68</v>
      </c>
      <c r="G576" t="s">
        <v>74</v>
      </c>
      <c r="H576" t="s">
        <v>75</v>
      </c>
      <c r="I576" s="6">
        <v>10</v>
      </c>
      <c r="J576" t="s">
        <v>71</v>
      </c>
      <c r="K576" t="s">
        <v>878</v>
      </c>
    </row>
    <row r="577" spans="1:11">
      <c r="A577" t="s">
        <v>1362</v>
      </c>
      <c r="B577" s="5">
        <v>46212</v>
      </c>
      <c r="C577" t="s">
        <v>1353</v>
      </c>
      <c r="D577" t="s">
        <v>67</v>
      </c>
      <c r="E577" t="s">
        <v>40</v>
      </c>
      <c r="F577" t="s">
        <v>68</v>
      </c>
      <c r="G577" t="s">
        <v>74</v>
      </c>
      <c r="H577" t="s">
        <v>75</v>
      </c>
      <c r="I577" s="6">
        <v>9.5</v>
      </c>
      <c r="J577" t="s">
        <v>71</v>
      </c>
      <c r="K577" t="s">
        <v>286</v>
      </c>
    </row>
    <row r="578" spans="1:11">
      <c r="A578" t="s">
        <v>1363</v>
      </c>
      <c r="B578" s="5">
        <v>46213</v>
      </c>
      <c r="C578" t="s">
        <v>1353</v>
      </c>
      <c r="D578" t="s">
        <v>67</v>
      </c>
      <c r="E578" t="s">
        <v>40</v>
      </c>
      <c r="F578" t="s">
        <v>68</v>
      </c>
      <c r="G578" t="s">
        <v>74</v>
      </c>
      <c r="H578" t="s">
        <v>75</v>
      </c>
      <c r="I578" s="6">
        <v>9.5</v>
      </c>
      <c r="J578" t="s">
        <v>71</v>
      </c>
      <c r="K578" t="s">
        <v>286</v>
      </c>
    </row>
    <row r="579" spans="1:11">
      <c r="A579" t="s">
        <v>1364</v>
      </c>
      <c r="B579" s="5">
        <v>46216</v>
      </c>
      <c r="C579" t="s">
        <v>1353</v>
      </c>
      <c r="D579" t="s">
        <v>67</v>
      </c>
      <c r="E579" t="s">
        <v>40</v>
      </c>
      <c r="F579" t="s">
        <v>68</v>
      </c>
      <c r="G579" t="s">
        <v>527</v>
      </c>
      <c r="H579" t="s">
        <v>528</v>
      </c>
      <c r="I579" s="6">
        <v>11.5</v>
      </c>
      <c r="J579" t="s">
        <v>71</v>
      </c>
      <c r="K579" t="s">
        <v>534</v>
      </c>
    </row>
    <row r="580" spans="1:11">
      <c r="A580" t="s">
        <v>1365</v>
      </c>
      <c r="B580" s="5">
        <v>46217</v>
      </c>
      <c r="C580" t="s">
        <v>1353</v>
      </c>
      <c r="D580" t="s">
        <v>67</v>
      </c>
      <c r="E580" t="s">
        <v>40</v>
      </c>
      <c r="F580" t="s">
        <v>68</v>
      </c>
      <c r="G580" t="s">
        <v>1366</v>
      </c>
      <c r="H580" t="s">
        <v>1367</v>
      </c>
      <c r="I580" s="6">
        <v>8.5</v>
      </c>
      <c r="J580" t="s">
        <v>71</v>
      </c>
      <c r="K580" t="s">
        <v>1368</v>
      </c>
    </row>
    <row r="581" spans="1:11">
      <c r="A581" t="s">
        <v>1369</v>
      </c>
      <c r="B581" s="5">
        <v>46218</v>
      </c>
      <c r="C581" t="s">
        <v>1353</v>
      </c>
      <c r="D581" t="s">
        <v>67</v>
      </c>
      <c r="E581" t="s">
        <v>40</v>
      </c>
      <c r="F581" t="s">
        <v>68</v>
      </c>
      <c r="G581" t="s">
        <v>1032</v>
      </c>
      <c r="H581" t="s">
        <v>317</v>
      </c>
      <c r="I581" s="6">
        <v>9</v>
      </c>
      <c r="J581" t="s">
        <v>71</v>
      </c>
      <c r="K581" t="s">
        <v>1370</v>
      </c>
    </row>
    <row r="582" spans="1:11">
      <c r="A582" t="s">
        <v>1371</v>
      </c>
      <c r="B582" s="5">
        <v>46205</v>
      </c>
      <c r="C582" t="s">
        <v>1372</v>
      </c>
      <c r="D582" t="s">
        <v>67</v>
      </c>
      <c r="E582" t="s">
        <v>40</v>
      </c>
      <c r="F582" t="s">
        <v>68</v>
      </c>
      <c r="G582" t="s">
        <v>700</v>
      </c>
      <c r="H582" t="s">
        <v>317</v>
      </c>
      <c r="I582" s="6">
        <v>11.5</v>
      </c>
      <c r="J582" t="s">
        <v>71</v>
      </c>
      <c r="K582" t="s">
        <v>1373</v>
      </c>
    </row>
    <row r="583" spans="1:11">
      <c r="A583" t="s">
        <v>1374</v>
      </c>
      <c r="B583" s="5">
        <v>46206</v>
      </c>
      <c r="C583" t="s">
        <v>1372</v>
      </c>
      <c r="D583" t="s">
        <v>67</v>
      </c>
      <c r="E583" t="s">
        <v>40</v>
      </c>
      <c r="F583" t="s">
        <v>68</v>
      </c>
      <c r="G583" t="s">
        <v>700</v>
      </c>
      <c r="H583" t="s">
        <v>317</v>
      </c>
      <c r="I583" s="6">
        <v>8.5</v>
      </c>
      <c r="J583" t="s">
        <v>71</v>
      </c>
      <c r="K583" t="s">
        <v>1375</v>
      </c>
    </row>
    <row r="584" spans="1:11">
      <c r="A584" t="s">
        <v>1376</v>
      </c>
      <c r="B584" s="5">
        <v>46207</v>
      </c>
      <c r="C584" t="s">
        <v>1372</v>
      </c>
      <c r="D584" t="s">
        <v>67</v>
      </c>
      <c r="E584" t="s">
        <v>40</v>
      </c>
      <c r="F584" t="s">
        <v>68</v>
      </c>
      <c r="G584" t="s">
        <v>700</v>
      </c>
      <c r="H584" t="s">
        <v>317</v>
      </c>
      <c r="I584" s="6">
        <v>8.5</v>
      </c>
      <c r="J584" t="s">
        <v>71</v>
      </c>
      <c r="K584" t="s">
        <v>1375</v>
      </c>
    </row>
    <row r="585" spans="1:11">
      <c r="A585" t="s">
        <v>1377</v>
      </c>
      <c r="B585" s="5">
        <v>46208</v>
      </c>
      <c r="C585" t="s">
        <v>1372</v>
      </c>
      <c r="D585" t="s">
        <v>67</v>
      </c>
      <c r="E585" t="s">
        <v>40</v>
      </c>
      <c r="F585" t="s">
        <v>68</v>
      </c>
      <c r="G585" t="s">
        <v>700</v>
      </c>
      <c r="H585" t="s">
        <v>317</v>
      </c>
      <c r="I585" s="6">
        <v>8.5</v>
      </c>
      <c r="J585" t="s">
        <v>71</v>
      </c>
      <c r="K585" t="s">
        <v>1375</v>
      </c>
    </row>
    <row r="586" spans="1:11">
      <c r="A586" t="s">
        <v>1378</v>
      </c>
      <c r="B586" s="5">
        <v>46209</v>
      </c>
      <c r="C586" t="s">
        <v>1372</v>
      </c>
      <c r="D586" t="s">
        <v>67</v>
      </c>
      <c r="E586" t="s">
        <v>40</v>
      </c>
      <c r="F586" t="s">
        <v>68</v>
      </c>
      <c r="G586" t="s">
        <v>700</v>
      </c>
      <c r="H586" t="s">
        <v>317</v>
      </c>
      <c r="I586" s="6">
        <v>11.5</v>
      </c>
      <c r="J586" t="s">
        <v>71</v>
      </c>
      <c r="K586" t="s">
        <v>1373</v>
      </c>
    </row>
    <row r="587" spans="1:11">
      <c r="A587" t="s">
        <v>1379</v>
      </c>
      <c r="B587" s="5">
        <v>46210</v>
      </c>
      <c r="C587" t="s">
        <v>1372</v>
      </c>
      <c r="D587" t="s">
        <v>67</v>
      </c>
      <c r="E587" t="s">
        <v>40</v>
      </c>
      <c r="F587" t="s">
        <v>68</v>
      </c>
      <c r="G587" t="s">
        <v>292</v>
      </c>
      <c r="H587" t="s">
        <v>293</v>
      </c>
      <c r="I587" s="6">
        <v>8.5</v>
      </c>
      <c r="J587" t="s">
        <v>71</v>
      </c>
      <c r="K587" t="s">
        <v>294</v>
      </c>
    </row>
    <row r="588" spans="1:11">
      <c r="A588" t="s">
        <v>1380</v>
      </c>
      <c r="B588" s="5">
        <v>46211</v>
      </c>
      <c r="C588" t="s">
        <v>1372</v>
      </c>
      <c r="D588" t="s">
        <v>67</v>
      </c>
      <c r="E588" t="s">
        <v>40</v>
      </c>
      <c r="F588" t="s">
        <v>68</v>
      </c>
      <c r="G588" t="s">
        <v>1129</v>
      </c>
      <c r="H588" t="s">
        <v>317</v>
      </c>
      <c r="I588" s="6">
        <v>7</v>
      </c>
      <c r="J588" t="s">
        <v>71</v>
      </c>
      <c r="K588" t="s">
        <v>1130</v>
      </c>
    </row>
    <row r="589" spans="1:11">
      <c r="A589" t="s">
        <v>1381</v>
      </c>
      <c r="B589" s="5">
        <v>46212</v>
      </c>
      <c r="C589" t="s">
        <v>1372</v>
      </c>
      <c r="D589" t="s">
        <v>67</v>
      </c>
      <c r="E589" t="s">
        <v>40</v>
      </c>
      <c r="F589" t="s">
        <v>82</v>
      </c>
      <c r="G589" t="s">
        <v>231</v>
      </c>
      <c r="H589" t="s">
        <v>232</v>
      </c>
      <c r="I589" s="6">
        <v>7.5</v>
      </c>
      <c r="J589" t="s">
        <v>71</v>
      </c>
      <c r="K589" t="s">
        <v>1132</v>
      </c>
    </row>
    <row r="590" spans="1:11">
      <c r="A590" t="s">
        <v>1382</v>
      </c>
      <c r="B590" s="5">
        <v>46213</v>
      </c>
      <c r="C590" t="s">
        <v>1372</v>
      </c>
      <c r="D590" t="s">
        <v>67</v>
      </c>
      <c r="E590" t="s">
        <v>40</v>
      </c>
      <c r="F590" t="s">
        <v>68</v>
      </c>
      <c r="G590" t="s">
        <v>292</v>
      </c>
      <c r="H590" t="s">
        <v>293</v>
      </c>
      <c r="I590" s="6">
        <v>10</v>
      </c>
      <c r="J590" t="s">
        <v>71</v>
      </c>
      <c r="K590" t="s">
        <v>1025</v>
      </c>
    </row>
    <row r="591" spans="1:11">
      <c r="A591" t="s">
        <v>1383</v>
      </c>
      <c r="B591" s="5">
        <v>46216</v>
      </c>
      <c r="C591" t="s">
        <v>1372</v>
      </c>
      <c r="D591" t="s">
        <v>67</v>
      </c>
      <c r="E591" t="s">
        <v>40</v>
      </c>
      <c r="F591" t="s">
        <v>68</v>
      </c>
      <c r="G591" t="s">
        <v>1032</v>
      </c>
      <c r="H591" t="s">
        <v>317</v>
      </c>
      <c r="I591" s="6">
        <v>8.5</v>
      </c>
      <c r="J591" t="s">
        <v>71</v>
      </c>
      <c r="K591" t="s">
        <v>1033</v>
      </c>
    </row>
    <row r="592" spans="1:11">
      <c r="A592" t="s">
        <v>1384</v>
      </c>
      <c r="B592" s="5">
        <v>46217</v>
      </c>
      <c r="C592" t="s">
        <v>1372</v>
      </c>
      <c r="D592" t="s">
        <v>67</v>
      </c>
      <c r="E592" t="s">
        <v>40</v>
      </c>
      <c r="F592" t="s">
        <v>68</v>
      </c>
      <c r="G592" t="s">
        <v>292</v>
      </c>
      <c r="H592" t="s">
        <v>293</v>
      </c>
      <c r="I592" s="6">
        <v>8.5</v>
      </c>
      <c r="J592" t="s">
        <v>71</v>
      </c>
      <c r="K592" t="s">
        <v>294</v>
      </c>
    </row>
    <row r="593" spans="1:11">
      <c r="A593" t="s">
        <v>1385</v>
      </c>
      <c r="B593" s="5">
        <v>46218</v>
      </c>
      <c r="C593" t="s">
        <v>1372</v>
      </c>
      <c r="D593" t="s">
        <v>67</v>
      </c>
      <c r="E593" t="s">
        <v>40</v>
      </c>
      <c r="F593" t="s">
        <v>68</v>
      </c>
      <c r="G593" t="s">
        <v>1032</v>
      </c>
      <c r="H593" t="s">
        <v>317</v>
      </c>
      <c r="I593" s="6">
        <v>9</v>
      </c>
      <c r="J593" t="s">
        <v>71</v>
      </c>
      <c r="K593" t="s">
        <v>1370</v>
      </c>
    </row>
    <row r="594" spans="1:11">
      <c r="A594" t="s">
        <v>1386</v>
      </c>
      <c r="B594" s="5">
        <v>46204</v>
      </c>
      <c r="C594" t="s">
        <v>1387</v>
      </c>
      <c r="D594" t="s">
        <v>67</v>
      </c>
      <c r="E594" t="s">
        <v>17</v>
      </c>
      <c r="F594" t="s">
        <v>68</v>
      </c>
      <c r="G594" t="s">
        <v>244</v>
      </c>
      <c r="H594" t="s">
        <v>245</v>
      </c>
      <c r="I594" s="6">
        <v>4</v>
      </c>
      <c r="J594" t="s">
        <v>71</v>
      </c>
      <c r="K594" t="s">
        <v>246</v>
      </c>
    </row>
    <row r="595" spans="1:11">
      <c r="A595" t="s">
        <v>1388</v>
      </c>
      <c r="B595" s="5">
        <v>46205</v>
      </c>
      <c r="C595" t="s">
        <v>1387</v>
      </c>
      <c r="D595" t="s">
        <v>67</v>
      </c>
      <c r="E595" t="s">
        <v>17</v>
      </c>
      <c r="F595" t="s">
        <v>68</v>
      </c>
      <c r="G595" t="s">
        <v>248</v>
      </c>
      <c r="H595" t="s">
        <v>249</v>
      </c>
      <c r="I595" s="6">
        <v>8.5</v>
      </c>
      <c r="J595" t="s">
        <v>71</v>
      </c>
      <c r="K595" t="s">
        <v>250</v>
      </c>
    </row>
    <row r="596" spans="1:11">
      <c r="A596" t="s">
        <v>1389</v>
      </c>
      <c r="B596" s="5">
        <v>46206</v>
      </c>
      <c r="C596" t="s">
        <v>1387</v>
      </c>
      <c r="D596" t="s">
        <v>67</v>
      </c>
      <c r="E596" t="s">
        <v>17</v>
      </c>
      <c r="F596" t="s">
        <v>68</v>
      </c>
      <c r="G596" t="s">
        <v>252</v>
      </c>
      <c r="H596" t="s">
        <v>249</v>
      </c>
      <c r="I596" s="6">
        <v>8.5</v>
      </c>
      <c r="J596" t="s">
        <v>71</v>
      </c>
      <c r="K596" t="s">
        <v>253</v>
      </c>
    </row>
    <row r="597" spans="1:11">
      <c r="A597" t="s">
        <v>1390</v>
      </c>
      <c r="B597" s="5">
        <v>46213</v>
      </c>
      <c r="C597" t="s">
        <v>1387</v>
      </c>
      <c r="D597" t="s">
        <v>67</v>
      </c>
      <c r="E597" t="s">
        <v>17</v>
      </c>
      <c r="F597" t="s">
        <v>68</v>
      </c>
      <c r="G597" t="s">
        <v>244</v>
      </c>
      <c r="H597" t="s">
        <v>245</v>
      </c>
      <c r="I597" s="6">
        <v>5</v>
      </c>
      <c r="J597" t="s">
        <v>71</v>
      </c>
      <c r="K597" t="s">
        <v>1207</v>
      </c>
    </row>
    <row r="598" spans="1:11">
      <c r="A598" t="s">
        <v>1391</v>
      </c>
      <c r="B598" s="5">
        <v>46209</v>
      </c>
      <c r="C598" t="s">
        <v>1392</v>
      </c>
      <c r="D598" t="s">
        <v>67</v>
      </c>
      <c r="E598" t="s">
        <v>30</v>
      </c>
      <c r="F598" t="s">
        <v>68</v>
      </c>
      <c r="G598" t="s">
        <v>794</v>
      </c>
      <c r="H598" t="s">
        <v>795</v>
      </c>
      <c r="I598" s="6">
        <v>9.5</v>
      </c>
      <c r="J598" t="s">
        <v>71</v>
      </c>
      <c r="K598" t="s">
        <v>1393</v>
      </c>
    </row>
    <row r="599" spans="1:11">
      <c r="A599" t="s">
        <v>1394</v>
      </c>
      <c r="B599" s="5">
        <v>46210</v>
      </c>
      <c r="C599" t="s">
        <v>1392</v>
      </c>
      <c r="D599" t="s">
        <v>67</v>
      </c>
      <c r="E599" t="s">
        <v>30</v>
      </c>
      <c r="F599" t="s">
        <v>68</v>
      </c>
      <c r="G599" t="s">
        <v>1155</v>
      </c>
      <c r="H599" t="s">
        <v>1156</v>
      </c>
      <c r="I599" s="6">
        <v>8.5</v>
      </c>
      <c r="J599" t="s">
        <v>71</v>
      </c>
      <c r="K599" t="s">
        <v>1157</v>
      </c>
    </row>
    <row r="600" spans="1:11">
      <c r="A600" t="s">
        <v>1395</v>
      </c>
      <c r="B600" s="5">
        <v>46212</v>
      </c>
      <c r="C600" t="s">
        <v>1392</v>
      </c>
      <c r="D600" t="s">
        <v>67</v>
      </c>
      <c r="E600" t="s">
        <v>30</v>
      </c>
      <c r="F600" t="s">
        <v>68</v>
      </c>
      <c r="G600" t="s">
        <v>1159</v>
      </c>
      <c r="H600" t="s">
        <v>1160</v>
      </c>
      <c r="I600" s="6">
        <v>9.4499999999999993</v>
      </c>
      <c r="J600" t="s">
        <v>71</v>
      </c>
      <c r="K600" t="s">
        <v>1396</v>
      </c>
    </row>
    <row r="601" spans="1:11">
      <c r="A601" t="s">
        <v>1397</v>
      </c>
      <c r="B601" s="5">
        <v>46213</v>
      </c>
      <c r="C601" t="s">
        <v>1392</v>
      </c>
      <c r="D601" t="s">
        <v>67</v>
      </c>
      <c r="E601" t="s">
        <v>30</v>
      </c>
      <c r="F601" t="s">
        <v>68</v>
      </c>
      <c r="G601" t="s">
        <v>1398</v>
      </c>
      <c r="H601" t="s">
        <v>1399</v>
      </c>
      <c r="I601" s="6">
        <v>6.3</v>
      </c>
      <c r="J601" t="s">
        <v>71</v>
      </c>
      <c r="K601" t="s">
        <v>1400</v>
      </c>
    </row>
    <row r="602" spans="1:11">
      <c r="A602" t="s">
        <v>1401</v>
      </c>
      <c r="B602" s="5">
        <v>46216</v>
      </c>
      <c r="C602" t="s">
        <v>1392</v>
      </c>
      <c r="D602" t="s">
        <v>67</v>
      </c>
      <c r="E602" t="s">
        <v>17</v>
      </c>
      <c r="F602" t="s">
        <v>68</v>
      </c>
      <c r="G602" t="s">
        <v>1402</v>
      </c>
      <c r="H602" t="s">
        <v>1403</v>
      </c>
      <c r="I602" s="6">
        <v>3.45</v>
      </c>
      <c r="J602" t="s">
        <v>71</v>
      </c>
      <c r="K602" t="s">
        <v>1404</v>
      </c>
    </row>
    <row r="603" spans="1:11">
      <c r="A603" t="s">
        <v>1405</v>
      </c>
      <c r="B603" s="5">
        <v>46217</v>
      </c>
      <c r="C603" t="s">
        <v>1392</v>
      </c>
      <c r="D603" t="s">
        <v>67</v>
      </c>
      <c r="E603" t="s">
        <v>30</v>
      </c>
      <c r="F603" t="s">
        <v>68</v>
      </c>
      <c r="G603" t="s">
        <v>1167</v>
      </c>
      <c r="H603" t="s">
        <v>1168</v>
      </c>
      <c r="I603" s="6">
        <v>8.5</v>
      </c>
      <c r="J603" t="s">
        <v>71</v>
      </c>
      <c r="K603" t="s">
        <v>1169</v>
      </c>
    </row>
    <row r="604" spans="1:11">
      <c r="A604" t="s">
        <v>1406</v>
      </c>
      <c r="B604" s="5">
        <v>46218</v>
      </c>
      <c r="C604" t="s">
        <v>1392</v>
      </c>
      <c r="D604" t="s">
        <v>67</v>
      </c>
      <c r="E604" t="s">
        <v>30</v>
      </c>
      <c r="F604" t="s">
        <v>68</v>
      </c>
      <c r="G604" t="s">
        <v>1407</v>
      </c>
      <c r="H604" t="s">
        <v>1408</v>
      </c>
      <c r="I604" s="6">
        <v>6.3</v>
      </c>
      <c r="J604" t="s">
        <v>95</v>
      </c>
      <c r="K604" t="s">
        <v>1409</v>
      </c>
    </row>
    <row r="605" spans="1:11">
      <c r="A605" t="s">
        <v>1410</v>
      </c>
      <c r="B605" s="5">
        <v>46209</v>
      </c>
      <c r="C605" t="s">
        <v>1411</v>
      </c>
      <c r="D605" t="s">
        <v>67</v>
      </c>
      <c r="E605" t="s">
        <v>30</v>
      </c>
      <c r="F605" t="s">
        <v>179</v>
      </c>
      <c r="G605" t="s">
        <v>794</v>
      </c>
      <c r="H605" t="s">
        <v>795</v>
      </c>
      <c r="I605" s="6">
        <v>9.5</v>
      </c>
      <c r="J605" t="s">
        <v>71</v>
      </c>
      <c r="K605" t="s">
        <v>1412</v>
      </c>
    </row>
    <row r="606" spans="1:11">
      <c r="A606" t="s">
        <v>1413</v>
      </c>
      <c r="B606" s="5">
        <v>46210</v>
      </c>
      <c r="C606" t="s">
        <v>1411</v>
      </c>
      <c r="D606" t="s">
        <v>67</v>
      </c>
      <c r="E606" t="s">
        <v>30</v>
      </c>
      <c r="F606" t="s">
        <v>68</v>
      </c>
      <c r="G606" t="s">
        <v>794</v>
      </c>
      <c r="H606" t="s">
        <v>795</v>
      </c>
      <c r="I606" s="6">
        <v>9</v>
      </c>
      <c r="J606" t="s">
        <v>71</v>
      </c>
      <c r="K606" t="s">
        <v>1414</v>
      </c>
    </row>
    <row r="607" spans="1:11">
      <c r="A607" t="s">
        <v>1415</v>
      </c>
      <c r="B607" s="5">
        <v>46212</v>
      </c>
      <c r="C607" t="s">
        <v>1411</v>
      </c>
      <c r="D607" t="s">
        <v>67</v>
      </c>
      <c r="E607" t="s">
        <v>30</v>
      </c>
      <c r="F607" t="s">
        <v>68</v>
      </c>
      <c r="G607" t="s">
        <v>1159</v>
      </c>
      <c r="H607" t="s">
        <v>1160</v>
      </c>
      <c r="I607" s="6">
        <v>9.4499999999999993</v>
      </c>
      <c r="J607" t="s">
        <v>71</v>
      </c>
      <c r="K607" t="s">
        <v>1396</v>
      </c>
    </row>
    <row r="608" spans="1:11">
      <c r="A608" t="s">
        <v>1416</v>
      </c>
      <c r="B608" s="5">
        <v>46213</v>
      </c>
      <c r="C608" t="s">
        <v>1411</v>
      </c>
      <c r="D608" t="s">
        <v>67</v>
      </c>
      <c r="E608" t="s">
        <v>30</v>
      </c>
      <c r="F608" t="s">
        <v>179</v>
      </c>
      <c r="G608" t="s">
        <v>1163</v>
      </c>
      <c r="H608" t="s">
        <v>1164</v>
      </c>
      <c r="I608" s="6">
        <v>5</v>
      </c>
      <c r="J608" t="s">
        <v>71</v>
      </c>
      <c r="K608" t="s">
        <v>1417</v>
      </c>
    </row>
    <row r="609" spans="1:11">
      <c r="A609" t="s">
        <v>1418</v>
      </c>
      <c r="B609" s="5">
        <v>46216</v>
      </c>
      <c r="C609" t="s">
        <v>1411</v>
      </c>
      <c r="D609" t="s">
        <v>67</v>
      </c>
      <c r="E609" t="s">
        <v>17</v>
      </c>
      <c r="F609" t="s">
        <v>179</v>
      </c>
      <c r="G609" t="s">
        <v>1402</v>
      </c>
      <c r="H609" t="s">
        <v>1403</v>
      </c>
      <c r="I609" s="6">
        <v>3.45</v>
      </c>
      <c r="J609" t="s">
        <v>71</v>
      </c>
      <c r="K609" t="s">
        <v>1419</v>
      </c>
    </row>
    <row r="610" spans="1:11">
      <c r="A610" t="s">
        <v>1420</v>
      </c>
      <c r="B610" s="5">
        <v>46217</v>
      </c>
      <c r="C610" t="s">
        <v>1411</v>
      </c>
      <c r="D610" t="s">
        <v>67</v>
      </c>
      <c r="E610" t="s">
        <v>30</v>
      </c>
      <c r="F610" t="s">
        <v>179</v>
      </c>
      <c r="G610" t="s">
        <v>1421</v>
      </c>
      <c r="H610" t="s">
        <v>1422</v>
      </c>
      <c r="I610" s="6">
        <v>2</v>
      </c>
      <c r="J610" t="s">
        <v>71</v>
      </c>
      <c r="K610" t="s">
        <v>1423</v>
      </c>
    </row>
    <row r="611" spans="1:11">
      <c r="A611" t="s">
        <v>1424</v>
      </c>
      <c r="B611" s="5">
        <v>46218</v>
      </c>
      <c r="C611" t="s">
        <v>1411</v>
      </c>
      <c r="D611" t="s">
        <v>67</v>
      </c>
      <c r="E611" t="s">
        <v>30</v>
      </c>
      <c r="F611" t="s">
        <v>68</v>
      </c>
      <c r="G611" t="s">
        <v>1159</v>
      </c>
      <c r="H611" t="s">
        <v>1160</v>
      </c>
      <c r="I611" s="6">
        <v>4.3</v>
      </c>
      <c r="J611" t="s">
        <v>71</v>
      </c>
      <c r="K611" t="s">
        <v>1171</v>
      </c>
    </row>
    <row r="612" spans="1:11">
      <c r="A612" t="s">
        <v>1425</v>
      </c>
      <c r="B612" s="5">
        <v>46204</v>
      </c>
      <c r="C612" t="s">
        <v>1426</v>
      </c>
      <c r="D612" t="s">
        <v>67</v>
      </c>
      <c r="E612" t="s">
        <v>29</v>
      </c>
      <c r="F612" t="s">
        <v>68</v>
      </c>
      <c r="G612" t="s">
        <v>201</v>
      </c>
      <c r="H612" t="s">
        <v>202</v>
      </c>
      <c r="I612" s="6">
        <v>7</v>
      </c>
      <c r="J612" t="s">
        <v>71</v>
      </c>
      <c r="K612" t="s">
        <v>1427</v>
      </c>
    </row>
    <row r="613" spans="1:11">
      <c r="A613" t="s">
        <v>1428</v>
      </c>
      <c r="B613" s="5">
        <v>46209</v>
      </c>
      <c r="C613" t="s">
        <v>1426</v>
      </c>
      <c r="D613" t="s">
        <v>67</v>
      </c>
      <c r="E613" t="s">
        <v>26</v>
      </c>
      <c r="F613" t="s">
        <v>68</v>
      </c>
      <c r="G613" t="s">
        <v>763</v>
      </c>
      <c r="H613" t="s">
        <v>764</v>
      </c>
      <c r="I613" s="6">
        <v>9</v>
      </c>
      <c r="J613" t="s">
        <v>71</v>
      </c>
      <c r="K613" t="s">
        <v>1181</v>
      </c>
    </row>
    <row r="614" spans="1:11">
      <c r="A614" t="s">
        <v>1429</v>
      </c>
      <c r="B614" s="5">
        <v>46210</v>
      </c>
      <c r="C614" t="s">
        <v>1426</v>
      </c>
      <c r="D614" t="s">
        <v>67</v>
      </c>
      <c r="E614" t="s">
        <v>26</v>
      </c>
      <c r="F614" t="s">
        <v>68</v>
      </c>
      <c r="G614" t="s">
        <v>763</v>
      </c>
      <c r="H614" t="s">
        <v>764</v>
      </c>
      <c r="I614" s="6">
        <v>8</v>
      </c>
      <c r="J614" t="s">
        <v>71</v>
      </c>
      <c r="K614" t="s">
        <v>1183</v>
      </c>
    </row>
    <row r="615" spans="1:11">
      <c r="A615" t="s">
        <v>1430</v>
      </c>
      <c r="B615" s="5">
        <v>46211</v>
      </c>
      <c r="C615" t="s">
        <v>1426</v>
      </c>
      <c r="D615" t="s">
        <v>67</v>
      </c>
      <c r="E615" t="s">
        <v>26</v>
      </c>
      <c r="F615" t="s">
        <v>68</v>
      </c>
      <c r="G615" t="s">
        <v>763</v>
      </c>
      <c r="H615" t="s">
        <v>764</v>
      </c>
      <c r="I615" s="6">
        <v>9</v>
      </c>
      <c r="J615" t="s">
        <v>71</v>
      </c>
      <c r="K615" t="s">
        <v>1181</v>
      </c>
    </row>
    <row r="616" spans="1:11">
      <c r="A616" t="s">
        <v>1431</v>
      </c>
      <c r="B616" s="5">
        <v>46212</v>
      </c>
      <c r="C616" t="s">
        <v>1426</v>
      </c>
      <c r="D616" t="s">
        <v>67</v>
      </c>
      <c r="E616" t="s">
        <v>26</v>
      </c>
      <c r="F616" t="s">
        <v>68</v>
      </c>
      <c r="G616" t="s">
        <v>763</v>
      </c>
      <c r="H616" t="s">
        <v>764</v>
      </c>
      <c r="I616" s="6">
        <v>8</v>
      </c>
      <c r="J616" t="s">
        <v>71</v>
      </c>
      <c r="K616" t="s">
        <v>1183</v>
      </c>
    </row>
    <row r="617" spans="1:11">
      <c r="A617" t="s">
        <v>1432</v>
      </c>
      <c r="B617" s="5">
        <v>46217</v>
      </c>
      <c r="C617" t="s">
        <v>1426</v>
      </c>
      <c r="D617" t="s">
        <v>67</v>
      </c>
      <c r="E617" t="s">
        <v>29</v>
      </c>
      <c r="F617" t="s">
        <v>68</v>
      </c>
      <c r="G617" t="s">
        <v>1433</v>
      </c>
      <c r="H617" t="s">
        <v>1434</v>
      </c>
      <c r="I617" s="6">
        <v>9.5</v>
      </c>
      <c r="J617" t="s">
        <v>95</v>
      </c>
      <c r="K617" t="s">
        <v>1435</v>
      </c>
    </row>
    <row r="618" spans="1:11">
      <c r="A618" t="s">
        <v>1436</v>
      </c>
      <c r="B618" s="5">
        <v>46218</v>
      </c>
      <c r="C618" t="s">
        <v>1426</v>
      </c>
      <c r="D618" t="s">
        <v>67</v>
      </c>
      <c r="E618" t="s">
        <v>29</v>
      </c>
      <c r="F618" t="s">
        <v>68</v>
      </c>
      <c r="G618" t="s">
        <v>1437</v>
      </c>
      <c r="H618" t="s">
        <v>1438</v>
      </c>
      <c r="I618" s="6">
        <v>4.92</v>
      </c>
      <c r="J618" t="s">
        <v>71</v>
      </c>
      <c r="K618" t="s">
        <v>1439</v>
      </c>
    </row>
    <row r="619" spans="1:11">
      <c r="A619" t="s">
        <v>1440</v>
      </c>
      <c r="B619" s="5">
        <v>46206</v>
      </c>
      <c r="C619" t="s">
        <v>1441</v>
      </c>
      <c r="D619" t="s">
        <v>67</v>
      </c>
      <c r="E619" t="s">
        <v>1442</v>
      </c>
      <c r="F619" t="s">
        <v>68</v>
      </c>
      <c r="G619" t="s">
        <v>1443</v>
      </c>
      <c r="H619" t="s">
        <v>1444</v>
      </c>
      <c r="I619" s="6">
        <v>8</v>
      </c>
      <c r="J619" t="s">
        <v>95</v>
      </c>
      <c r="K619" t="s">
        <v>1445</v>
      </c>
    </row>
    <row r="620" spans="1:11">
      <c r="A620" t="s">
        <v>1446</v>
      </c>
      <c r="B620" s="5">
        <v>46210</v>
      </c>
      <c r="C620" t="s">
        <v>1441</v>
      </c>
      <c r="D620" t="s">
        <v>67</v>
      </c>
      <c r="E620" t="s">
        <v>29</v>
      </c>
      <c r="F620" t="s">
        <v>68</v>
      </c>
      <c r="G620" t="s">
        <v>197</v>
      </c>
      <c r="H620" t="s">
        <v>198</v>
      </c>
      <c r="I620" s="6">
        <v>3.5</v>
      </c>
      <c r="J620" t="s">
        <v>71</v>
      </c>
      <c r="K620" t="s">
        <v>1447</v>
      </c>
    </row>
    <row r="621" spans="1:11">
      <c r="A621" t="s">
        <v>1448</v>
      </c>
      <c r="B621" s="5">
        <v>46211</v>
      </c>
      <c r="C621" t="s">
        <v>1441</v>
      </c>
      <c r="D621" t="s">
        <v>67</v>
      </c>
      <c r="E621" t="s">
        <v>29</v>
      </c>
      <c r="F621" t="s">
        <v>68</v>
      </c>
      <c r="G621" t="s">
        <v>201</v>
      </c>
      <c r="H621" t="s">
        <v>202</v>
      </c>
      <c r="I621" s="6">
        <v>8.5</v>
      </c>
      <c r="J621" t="s">
        <v>71</v>
      </c>
      <c r="K621" t="s">
        <v>360</v>
      </c>
    </row>
    <row r="622" spans="1:11">
      <c r="A622" t="s">
        <v>1449</v>
      </c>
      <c r="B622" s="5">
        <v>46212</v>
      </c>
      <c r="C622" t="s">
        <v>1441</v>
      </c>
      <c r="D622" t="s">
        <v>67</v>
      </c>
      <c r="E622" t="s">
        <v>29</v>
      </c>
      <c r="F622" t="s">
        <v>68</v>
      </c>
      <c r="G622" t="s">
        <v>748</v>
      </c>
      <c r="H622" t="s">
        <v>749</v>
      </c>
      <c r="I622" s="6">
        <v>6.5</v>
      </c>
      <c r="J622" t="s">
        <v>71</v>
      </c>
      <c r="K622" t="s">
        <v>1450</v>
      </c>
    </row>
    <row r="623" spans="1:11">
      <c r="A623" t="s">
        <v>1451</v>
      </c>
      <c r="B623" s="5">
        <v>46217</v>
      </c>
      <c r="C623" t="s">
        <v>1441</v>
      </c>
      <c r="D623" t="s">
        <v>67</v>
      </c>
      <c r="E623" t="s">
        <v>9</v>
      </c>
      <c r="F623" t="s">
        <v>68</v>
      </c>
      <c r="G623" t="s">
        <v>215</v>
      </c>
      <c r="H623" t="s">
        <v>216</v>
      </c>
      <c r="I623" s="6">
        <v>5</v>
      </c>
      <c r="J623" t="s">
        <v>71</v>
      </c>
      <c r="K623" t="s">
        <v>1452</v>
      </c>
    </row>
    <row r="624" spans="1:11">
      <c r="A624" t="s">
        <v>1453</v>
      </c>
      <c r="B624" s="5">
        <v>46218</v>
      </c>
      <c r="C624" t="s">
        <v>1441</v>
      </c>
      <c r="D624" t="s">
        <v>67</v>
      </c>
      <c r="E624" t="s">
        <v>28</v>
      </c>
      <c r="F624" t="s">
        <v>68</v>
      </c>
      <c r="G624" t="s">
        <v>219</v>
      </c>
      <c r="H624" t="s">
        <v>220</v>
      </c>
      <c r="I624" s="6">
        <v>8.5</v>
      </c>
      <c r="J624" t="s">
        <v>71</v>
      </c>
      <c r="K624" t="s">
        <v>221</v>
      </c>
    </row>
    <row r="625" spans="1:11">
      <c r="A625" t="s">
        <v>1454</v>
      </c>
      <c r="B625" s="5">
        <v>46204</v>
      </c>
      <c r="C625" t="s">
        <v>1455</v>
      </c>
      <c r="D625" t="s">
        <v>67</v>
      </c>
      <c r="E625" t="s">
        <v>24</v>
      </c>
      <c r="F625" t="s">
        <v>82</v>
      </c>
      <c r="G625" t="s">
        <v>890</v>
      </c>
      <c r="H625" t="s">
        <v>891</v>
      </c>
      <c r="I625" s="6">
        <v>8</v>
      </c>
      <c r="J625" t="s">
        <v>71</v>
      </c>
      <c r="K625" t="s">
        <v>1456</v>
      </c>
    </row>
    <row r="626" spans="1:11">
      <c r="A626" t="s">
        <v>1457</v>
      </c>
      <c r="B626" s="5">
        <v>46205</v>
      </c>
      <c r="C626" t="s">
        <v>1455</v>
      </c>
      <c r="D626" t="s">
        <v>67</v>
      </c>
      <c r="E626" t="s">
        <v>24</v>
      </c>
      <c r="F626" t="s">
        <v>82</v>
      </c>
      <c r="G626" t="s">
        <v>378</v>
      </c>
      <c r="H626" t="s">
        <v>379</v>
      </c>
      <c r="I626" s="6">
        <v>10.5</v>
      </c>
      <c r="J626" t="s">
        <v>71</v>
      </c>
      <c r="K626" t="s">
        <v>1458</v>
      </c>
    </row>
    <row r="627" spans="1:11">
      <c r="A627" t="s">
        <v>1459</v>
      </c>
      <c r="B627" s="5">
        <v>46206</v>
      </c>
      <c r="C627" t="s">
        <v>1455</v>
      </c>
      <c r="D627" t="s">
        <v>67</v>
      </c>
      <c r="E627" t="s">
        <v>24</v>
      </c>
      <c r="F627" t="s">
        <v>68</v>
      </c>
      <c r="G627" t="s">
        <v>633</v>
      </c>
      <c r="H627" t="s">
        <v>407</v>
      </c>
      <c r="I627" s="6">
        <v>6.5</v>
      </c>
      <c r="J627" t="s">
        <v>71</v>
      </c>
      <c r="K627" t="s">
        <v>817</v>
      </c>
    </row>
    <row r="628" spans="1:11">
      <c r="A628" t="s">
        <v>1460</v>
      </c>
      <c r="B628" s="5">
        <v>46209</v>
      </c>
      <c r="C628" t="s">
        <v>1455</v>
      </c>
      <c r="D628" t="s">
        <v>67</v>
      </c>
      <c r="E628" t="s">
        <v>24</v>
      </c>
      <c r="F628" t="s">
        <v>68</v>
      </c>
      <c r="G628" t="s">
        <v>633</v>
      </c>
      <c r="H628" t="s">
        <v>407</v>
      </c>
      <c r="I628" s="6">
        <v>9</v>
      </c>
      <c r="J628" t="s">
        <v>71</v>
      </c>
      <c r="K628" t="s">
        <v>1461</v>
      </c>
    </row>
    <row r="629" spans="1:11">
      <c r="A629" t="s">
        <v>1462</v>
      </c>
      <c r="B629" s="5">
        <v>46210</v>
      </c>
      <c r="C629" t="s">
        <v>1455</v>
      </c>
      <c r="D629" t="s">
        <v>67</v>
      </c>
      <c r="E629" t="s">
        <v>24</v>
      </c>
      <c r="F629" t="s">
        <v>68</v>
      </c>
      <c r="G629" t="s">
        <v>633</v>
      </c>
      <c r="H629" t="s">
        <v>407</v>
      </c>
      <c r="I629" s="6">
        <v>6.5</v>
      </c>
      <c r="J629" t="s">
        <v>71</v>
      </c>
      <c r="K629" t="s">
        <v>817</v>
      </c>
    </row>
    <row r="630" spans="1:11">
      <c r="A630" t="s">
        <v>1463</v>
      </c>
      <c r="B630" s="5">
        <v>46211</v>
      </c>
      <c r="C630" t="s">
        <v>1455</v>
      </c>
      <c r="D630" t="s">
        <v>67</v>
      </c>
      <c r="E630" t="s">
        <v>24</v>
      </c>
      <c r="F630" t="s">
        <v>68</v>
      </c>
      <c r="G630" t="s">
        <v>633</v>
      </c>
      <c r="H630" t="s">
        <v>407</v>
      </c>
      <c r="I630" s="6">
        <v>6</v>
      </c>
      <c r="J630" t="s">
        <v>71</v>
      </c>
      <c r="K630" t="s">
        <v>827</v>
      </c>
    </row>
    <row r="631" spans="1:11">
      <c r="A631" t="s">
        <v>1464</v>
      </c>
      <c r="B631" s="5">
        <v>46212</v>
      </c>
      <c r="C631" t="s">
        <v>1455</v>
      </c>
      <c r="D631" t="s">
        <v>67</v>
      </c>
      <c r="E631" t="s">
        <v>24</v>
      </c>
      <c r="F631" t="s">
        <v>68</v>
      </c>
      <c r="G631" t="s">
        <v>633</v>
      </c>
      <c r="H631" t="s">
        <v>407</v>
      </c>
      <c r="I631" s="6">
        <v>8</v>
      </c>
      <c r="J631" t="s">
        <v>71</v>
      </c>
      <c r="K631" t="s">
        <v>829</v>
      </c>
    </row>
    <row r="632" spans="1:11">
      <c r="A632" t="s">
        <v>1465</v>
      </c>
      <c r="B632" s="5">
        <v>46213</v>
      </c>
      <c r="C632" t="s">
        <v>1455</v>
      </c>
      <c r="D632" t="s">
        <v>67</v>
      </c>
      <c r="E632" t="s">
        <v>24</v>
      </c>
      <c r="F632" t="s">
        <v>82</v>
      </c>
      <c r="G632" t="s">
        <v>633</v>
      </c>
      <c r="H632" t="s">
        <v>407</v>
      </c>
      <c r="I632" s="6">
        <v>6</v>
      </c>
      <c r="J632" t="s">
        <v>71</v>
      </c>
      <c r="K632" t="s">
        <v>1104</v>
      </c>
    </row>
    <row r="633" spans="1:11">
      <c r="A633" t="s">
        <v>1466</v>
      </c>
      <c r="B633" s="5">
        <v>46216</v>
      </c>
      <c r="C633" t="s">
        <v>1455</v>
      </c>
      <c r="D633" t="s">
        <v>67</v>
      </c>
      <c r="E633" t="s">
        <v>24</v>
      </c>
      <c r="F633" t="s">
        <v>82</v>
      </c>
      <c r="G633" t="s">
        <v>633</v>
      </c>
      <c r="H633" t="s">
        <v>407</v>
      </c>
      <c r="I633" s="6">
        <v>6</v>
      </c>
      <c r="J633" t="s">
        <v>71</v>
      </c>
      <c r="K633" t="s">
        <v>1104</v>
      </c>
    </row>
    <row r="634" spans="1:11">
      <c r="A634" t="s">
        <v>1467</v>
      </c>
      <c r="B634" s="5">
        <v>46217</v>
      </c>
      <c r="C634" t="s">
        <v>1455</v>
      </c>
      <c r="D634" t="s">
        <v>67</v>
      </c>
      <c r="E634" t="s">
        <v>24</v>
      </c>
      <c r="F634" t="s">
        <v>82</v>
      </c>
      <c r="G634" t="s">
        <v>633</v>
      </c>
      <c r="H634" t="s">
        <v>407</v>
      </c>
      <c r="I634" s="6">
        <v>7.5</v>
      </c>
      <c r="J634" t="s">
        <v>71</v>
      </c>
      <c r="K634" t="s">
        <v>1109</v>
      </c>
    </row>
    <row r="635" spans="1:11">
      <c r="A635" t="s">
        <v>1468</v>
      </c>
      <c r="B635" s="5">
        <v>46218</v>
      </c>
      <c r="C635" t="s">
        <v>1455</v>
      </c>
      <c r="D635" t="s">
        <v>67</v>
      </c>
      <c r="E635" t="s">
        <v>24</v>
      </c>
      <c r="F635" t="s">
        <v>82</v>
      </c>
      <c r="G635" t="s">
        <v>633</v>
      </c>
      <c r="H635" t="s">
        <v>407</v>
      </c>
      <c r="I635" s="6">
        <v>7.5</v>
      </c>
      <c r="J635" t="s">
        <v>71</v>
      </c>
      <c r="K635" t="s">
        <v>1109</v>
      </c>
    </row>
    <row r="636" spans="1:11">
      <c r="A636" t="s">
        <v>1469</v>
      </c>
      <c r="B636" s="5">
        <v>46204</v>
      </c>
      <c r="C636" t="s">
        <v>1470</v>
      </c>
      <c r="D636" t="s">
        <v>67</v>
      </c>
      <c r="E636" t="s">
        <v>24</v>
      </c>
      <c r="F636" t="s">
        <v>179</v>
      </c>
      <c r="G636" t="s">
        <v>812</v>
      </c>
      <c r="H636" t="s">
        <v>399</v>
      </c>
      <c r="I636" s="6">
        <v>9</v>
      </c>
      <c r="J636" t="s">
        <v>71</v>
      </c>
      <c r="K636" t="s">
        <v>1471</v>
      </c>
    </row>
    <row r="637" spans="1:11">
      <c r="A637" t="s">
        <v>1472</v>
      </c>
      <c r="B637" s="5">
        <v>46205</v>
      </c>
      <c r="C637" t="s">
        <v>1470</v>
      </c>
      <c r="D637" t="s">
        <v>67</v>
      </c>
      <c r="E637" t="s">
        <v>24</v>
      </c>
      <c r="F637" t="s">
        <v>179</v>
      </c>
      <c r="G637" t="s">
        <v>812</v>
      </c>
      <c r="H637" t="s">
        <v>399</v>
      </c>
      <c r="I637" s="6">
        <v>6.5</v>
      </c>
      <c r="J637" t="s">
        <v>71</v>
      </c>
      <c r="K637" t="s">
        <v>1473</v>
      </c>
    </row>
    <row r="638" spans="1:11">
      <c r="A638" t="s">
        <v>1474</v>
      </c>
      <c r="B638" s="5">
        <v>46206</v>
      </c>
      <c r="C638" t="s">
        <v>1470</v>
      </c>
      <c r="D638" t="s">
        <v>67</v>
      </c>
      <c r="E638" t="s">
        <v>24</v>
      </c>
      <c r="F638" t="s">
        <v>179</v>
      </c>
      <c r="G638" t="s">
        <v>633</v>
      </c>
      <c r="H638" t="s">
        <v>407</v>
      </c>
      <c r="I638" s="6">
        <v>6.5</v>
      </c>
      <c r="J638" t="s">
        <v>71</v>
      </c>
      <c r="K638" t="s">
        <v>1475</v>
      </c>
    </row>
    <row r="639" spans="1:11">
      <c r="A639" t="s">
        <v>1476</v>
      </c>
      <c r="B639" s="5">
        <v>46209</v>
      </c>
      <c r="C639" t="s">
        <v>1470</v>
      </c>
      <c r="D639" t="s">
        <v>67</v>
      </c>
      <c r="E639" t="s">
        <v>24</v>
      </c>
      <c r="F639" t="s">
        <v>179</v>
      </c>
      <c r="G639" t="s">
        <v>633</v>
      </c>
      <c r="H639" t="s">
        <v>407</v>
      </c>
      <c r="I639" s="6">
        <v>9</v>
      </c>
      <c r="J639" t="s">
        <v>71</v>
      </c>
      <c r="K639" t="s">
        <v>1477</v>
      </c>
    </row>
    <row r="640" spans="1:11">
      <c r="A640" t="s">
        <v>1478</v>
      </c>
      <c r="B640" s="5">
        <v>46210</v>
      </c>
      <c r="C640" t="s">
        <v>1470</v>
      </c>
      <c r="D640" t="s">
        <v>67</v>
      </c>
      <c r="E640" t="s">
        <v>24</v>
      </c>
      <c r="F640" t="s">
        <v>179</v>
      </c>
      <c r="G640" t="s">
        <v>633</v>
      </c>
      <c r="H640" t="s">
        <v>407</v>
      </c>
      <c r="I640" s="6">
        <v>6.5</v>
      </c>
      <c r="J640" t="s">
        <v>71</v>
      </c>
      <c r="K640" t="s">
        <v>1475</v>
      </c>
    </row>
    <row r="641" spans="1:11">
      <c r="A641" t="s">
        <v>1479</v>
      </c>
      <c r="B641" s="5">
        <v>46211</v>
      </c>
      <c r="C641" t="s">
        <v>1470</v>
      </c>
      <c r="D641" t="s">
        <v>67</v>
      </c>
      <c r="E641" t="s">
        <v>24</v>
      </c>
      <c r="F641" t="s">
        <v>179</v>
      </c>
      <c r="G641" t="s">
        <v>392</v>
      </c>
      <c r="H641" t="s">
        <v>393</v>
      </c>
      <c r="I641" s="6">
        <v>8</v>
      </c>
      <c r="J641" t="s">
        <v>71</v>
      </c>
      <c r="K641" t="s">
        <v>394</v>
      </c>
    </row>
    <row r="642" spans="1:11">
      <c r="A642" t="s">
        <v>1480</v>
      </c>
      <c r="B642" s="5">
        <v>46212</v>
      </c>
      <c r="C642" t="s">
        <v>1470</v>
      </c>
      <c r="D642" t="s">
        <v>67</v>
      </c>
      <c r="E642" t="s">
        <v>24</v>
      </c>
      <c r="F642" t="s">
        <v>179</v>
      </c>
      <c r="G642" t="s">
        <v>392</v>
      </c>
      <c r="H642" t="s">
        <v>393</v>
      </c>
      <c r="I642" s="6">
        <v>6</v>
      </c>
      <c r="J642" t="s">
        <v>71</v>
      </c>
      <c r="K642" t="s">
        <v>396</v>
      </c>
    </row>
    <row r="643" spans="1:11">
      <c r="A643" t="s">
        <v>1481</v>
      </c>
      <c r="B643" s="5">
        <v>46216</v>
      </c>
      <c r="C643" t="s">
        <v>1470</v>
      </c>
      <c r="D643" t="s">
        <v>67</v>
      </c>
      <c r="E643" t="s">
        <v>24</v>
      </c>
      <c r="F643" t="s">
        <v>179</v>
      </c>
      <c r="G643" t="s">
        <v>633</v>
      </c>
      <c r="H643" t="s">
        <v>407</v>
      </c>
      <c r="I643" s="6">
        <v>6</v>
      </c>
      <c r="J643" t="s">
        <v>71</v>
      </c>
      <c r="K643" t="s">
        <v>899</v>
      </c>
    </row>
    <row r="644" spans="1:11">
      <c r="A644" t="s">
        <v>1482</v>
      </c>
      <c r="B644" s="5">
        <v>46217</v>
      </c>
      <c r="C644" t="s">
        <v>1470</v>
      </c>
      <c r="D644" t="s">
        <v>67</v>
      </c>
      <c r="E644" t="s">
        <v>24</v>
      </c>
      <c r="F644" t="s">
        <v>179</v>
      </c>
      <c r="G644" t="s">
        <v>633</v>
      </c>
      <c r="H644" t="s">
        <v>407</v>
      </c>
      <c r="I644" s="6">
        <v>7.5</v>
      </c>
      <c r="J644" t="s">
        <v>71</v>
      </c>
      <c r="K644" t="s">
        <v>1483</v>
      </c>
    </row>
    <row r="645" spans="1:11">
      <c r="A645" t="s">
        <v>1484</v>
      </c>
      <c r="B645" s="5">
        <v>46218</v>
      </c>
      <c r="C645" t="s">
        <v>1470</v>
      </c>
      <c r="D645" t="s">
        <v>67</v>
      </c>
      <c r="E645" t="s">
        <v>24</v>
      </c>
      <c r="F645" t="s">
        <v>179</v>
      </c>
      <c r="G645" t="s">
        <v>633</v>
      </c>
      <c r="H645" t="s">
        <v>407</v>
      </c>
      <c r="I645" s="6">
        <v>7.5</v>
      </c>
      <c r="J645" t="s">
        <v>71</v>
      </c>
      <c r="K645" t="s">
        <v>1483</v>
      </c>
    </row>
    <row r="646" spans="1:11">
      <c r="A646" t="s">
        <v>1485</v>
      </c>
      <c r="B646" s="5">
        <v>46204</v>
      </c>
      <c r="C646" t="s">
        <v>1486</v>
      </c>
      <c r="D646" t="s">
        <v>67</v>
      </c>
      <c r="E646" t="s">
        <v>40</v>
      </c>
      <c r="F646" t="s">
        <v>68</v>
      </c>
      <c r="G646" t="s">
        <v>1032</v>
      </c>
      <c r="H646" t="s">
        <v>317</v>
      </c>
      <c r="I646" s="6">
        <v>8.5</v>
      </c>
      <c r="J646" t="s">
        <v>71</v>
      </c>
      <c r="K646" t="s">
        <v>1033</v>
      </c>
    </row>
    <row r="647" spans="1:11">
      <c r="A647" t="s">
        <v>1487</v>
      </c>
      <c r="B647" s="5">
        <v>46205</v>
      </c>
      <c r="C647" t="s">
        <v>1486</v>
      </c>
      <c r="D647" t="s">
        <v>67</v>
      </c>
      <c r="E647" t="s">
        <v>40</v>
      </c>
      <c r="F647" t="s">
        <v>82</v>
      </c>
      <c r="G647" t="s">
        <v>700</v>
      </c>
      <c r="H647" t="s">
        <v>317</v>
      </c>
      <c r="I647" s="6">
        <v>11.5</v>
      </c>
      <c r="J647" t="s">
        <v>71</v>
      </c>
      <c r="K647" t="s">
        <v>1488</v>
      </c>
    </row>
    <row r="648" spans="1:11">
      <c r="A648" t="s">
        <v>1489</v>
      </c>
      <c r="B648" s="5">
        <v>46206</v>
      </c>
      <c r="C648" t="s">
        <v>1486</v>
      </c>
      <c r="D648" t="s">
        <v>67</v>
      </c>
      <c r="E648" t="s">
        <v>40</v>
      </c>
      <c r="F648" t="s">
        <v>82</v>
      </c>
      <c r="G648" t="s">
        <v>700</v>
      </c>
      <c r="H648" t="s">
        <v>317</v>
      </c>
      <c r="I648" s="6">
        <v>8.5</v>
      </c>
      <c r="J648" t="s">
        <v>71</v>
      </c>
      <c r="K648" t="s">
        <v>1490</v>
      </c>
    </row>
    <row r="649" spans="1:11">
      <c r="A649" t="s">
        <v>1491</v>
      </c>
      <c r="B649" s="5">
        <v>46207</v>
      </c>
      <c r="C649" t="s">
        <v>1486</v>
      </c>
      <c r="D649" t="s">
        <v>67</v>
      </c>
      <c r="E649" t="s">
        <v>40</v>
      </c>
      <c r="F649" t="s">
        <v>82</v>
      </c>
      <c r="G649" t="s">
        <v>700</v>
      </c>
      <c r="H649" t="s">
        <v>317</v>
      </c>
      <c r="I649" s="6">
        <v>8.5</v>
      </c>
      <c r="J649" t="s">
        <v>71</v>
      </c>
      <c r="K649" t="s">
        <v>1490</v>
      </c>
    </row>
    <row r="650" spans="1:11">
      <c r="A650" t="s">
        <v>1492</v>
      </c>
      <c r="B650" s="5">
        <v>46208</v>
      </c>
      <c r="C650" t="s">
        <v>1486</v>
      </c>
      <c r="D650" t="s">
        <v>67</v>
      </c>
      <c r="E650" t="s">
        <v>40</v>
      </c>
      <c r="F650" t="s">
        <v>82</v>
      </c>
      <c r="G650" t="s">
        <v>700</v>
      </c>
      <c r="H650" t="s">
        <v>317</v>
      </c>
      <c r="I650" s="6">
        <v>8.5</v>
      </c>
      <c r="J650" t="s">
        <v>71</v>
      </c>
      <c r="K650" t="s">
        <v>1490</v>
      </c>
    </row>
    <row r="651" spans="1:11">
      <c r="A651" t="s">
        <v>1493</v>
      </c>
      <c r="B651" s="5">
        <v>46209</v>
      </c>
      <c r="C651" t="s">
        <v>1486</v>
      </c>
      <c r="D651" t="s">
        <v>67</v>
      </c>
      <c r="E651" t="s">
        <v>40</v>
      </c>
      <c r="F651" t="s">
        <v>82</v>
      </c>
      <c r="G651" t="s">
        <v>700</v>
      </c>
      <c r="H651" t="s">
        <v>317</v>
      </c>
      <c r="I651" s="6">
        <v>11.5</v>
      </c>
      <c r="J651" t="s">
        <v>71</v>
      </c>
      <c r="K651" t="s">
        <v>1488</v>
      </c>
    </row>
    <row r="652" spans="1:11">
      <c r="A652" t="s">
        <v>1494</v>
      </c>
      <c r="B652" s="5">
        <v>46210</v>
      </c>
      <c r="C652" t="s">
        <v>1486</v>
      </c>
      <c r="D652" t="s">
        <v>67</v>
      </c>
      <c r="E652" t="s">
        <v>40</v>
      </c>
      <c r="F652" t="s">
        <v>68</v>
      </c>
      <c r="G652" t="s">
        <v>1032</v>
      </c>
      <c r="H652" t="s">
        <v>317</v>
      </c>
      <c r="I652" s="6">
        <v>8.5</v>
      </c>
      <c r="J652" t="s">
        <v>71</v>
      </c>
      <c r="K652" t="s">
        <v>1033</v>
      </c>
    </row>
    <row r="653" spans="1:11">
      <c r="A653" t="s">
        <v>1495</v>
      </c>
      <c r="B653" s="5">
        <v>46211</v>
      </c>
      <c r="C653" t="s">
        <v>1486</v>
      </c>
      <c r="D653" t="s">
        <v>67</v>
      </c>
      <c r="E653" t="s">
        <v>40</v>
      </c>
      <c r="F653" t="s">
        <v>68</v>
      </c>
      <c r="G653" t="s">
        <v>1032</v>
      </c>
      <c r="H653" t="s">
        <v>317</v>
      </c>
      <c r="I653" s="6">
        <v>8.5</v>
      </c>
      <c r="J653" t="s">
        <v>71</v>
      </c>
      <c r="K653" t="s">
        <v>1033</v>
      </c>
    </row>
    <row r="654" spans="1:11">
      <c r="A654" t="s">
        <v>1496</v>
      </c>
      <c r="B654" s="5">
        <v>46212</v>
      </c>
      <c r="C654" t="s">
        <v>1486</v>
      </c>
      <c r="D654" t="s">
        <v>67</v>
      </c>
      <c r="E654" t="s">
        <v>40</v>
      </c>
      <c r="F654" t="s">
        <v>68</v>
      </c>
      <c r="G654" t="s">
        <v>1032</v>
      </c>
      <c r="H654" t="s">
        <v>317</v>
      </c>
      <c r="I654" s="6">
        <v>8.5</v>
      </c>
      <c r="J654" t="s">
        <v>71</v>
      </c>
      <c r="K654" t="s">
        <v>1033</v>
      </c>
    </row>
    <row r="655" spans="1:11">
      <c r="A655" t="s">
        <v>1497</v>
      </c>
      <c r="B655" s="5">
        <v>46213</v>
      </c>
      <c r="C655" t="s">
        <v>1486</v>
      </c>
      <c r="D655" t="s">
        <v>67</v>
      </c>
      <c r="E655" t="s">
        <v>40</v>
      </c>
      <c r="F655" t="s">
        <v>68</v>
      </c>
      <c r="G655" t="s">
        <v>1032</v>
      </c>
      <c r="H655" t="s">
        <v>317</v>
      </c>
      <c r="I655" s="6">
        <v>8.5</v>
      </c>
      <c r="J655" t="s">
        <v>71</v>
      </c>
      <c r="K655" t="s">
        <v>1033</v>
      </c>
    </row>
    <row r="656" spans="1:11">
      <c r="A656" t="s">
        <v>1498</v>
      </c>
      <c r="B656" s="5">
        <v>46216</v>
      </c>
      <c r="C656" t="s">
        <v>1486</v>
      </c>
      <c r="D656" t="s">
        <v>67</v>
      </c>
      <c r="E656" t="s">
        <v>40</v>
      </c>
      <c r="F656" t="s">
        <v>68</v>
      </c>
      <c r="G656" t="s">
        <v>1032</v>
      </c>
      <c r="H656" t="s">
        <v>317</v>
      </c>
      <c r="I656" s="6">
        <v>8.5</v>
      </c>
      <c r="J656" t="s">
        <v>71</v>
      </c>
      <c r="K656" t="s">
        <v>1033</v>
      </c>
    </row>
    <row r="657" spans="1:11">
      <c r="A657" t="s">
        <v>1499</v>
      </c>
      <c r="B657" s="5">
        <v>46217</v>
      </c>
      <c r="C657" t="s">
        <v>1486</v>
      </c>
      <c r="D657" t="s">
        <v>67</v>
      </c>
      <c r="E657" t="s">
        <v>40</v>
      </c>
      <c r="F657" t="s">
        <v>68</v>
      </c>
      <c r="G657" t="s">
        <v>1032</v>
      </c>
      <c r="H657" t="s">
        <v>317</v>
      </c>
      <c r="I657" s="6">
        <v>8.5</v>
      </c>
      <c r="J657" t="s">
        <v>71</v>
      </c>
      <c r="K657" t="s">
        <v>1033</v>
      </c>
    </row>
    <row r="658" spans="1:11">
      <c r="A658" t="s">
        <v>1500</v>
      </c>
      <c r="B658" s="5">
        <v>46218</v>
      </c>
      <c r="C658" t="s">
        <v>1486</v>
      </c>
      <c r="D658" t="s">
        <v>67</v>
      </c>
      <c r="E658" t="s">
        <v>40</v>
      </c>
      <c r="F658" t="s">
        <v>68</v>
      </c>
      <c r="G658" t="s">
        <v>1032</v>
      </c>
      <c r="H658" t="s">
        <v>317</v>
      </c>
      <c r="I658" s="6">
        <v>8.5</v>
      </c>
      <c r="J658" t="s">
        <v>71</v>
      </c>
      <c r="K658" t="s">
        <v>1033</v>
      </c>
    </row>
    <row r="659" spans="1:11">
      <c r="A659" t="s">
        <v>1501</v>
      </c>
      <c r="B659" s="5">
        <v>46209</v>
      </c>
      <c r="C659" t="s">
        <v>1502</v>
      </c>
      <c r="D659" t="s">
        <v>67</v>
      </c>
      <c r="E659" t="s">
        <v>40</v>
      </c>
      <c r="F659" t="s">
        <v>68</v>
      </c>
      <c r="G659" t="s">
        <v>1503</v>
      </c>
      <c r="H659" t="s">
        <v>112</v>
      </c>
      <c r="I659" s="6">
        <v>8</v>
      </c>
      <c r="J659" t="s">
        <v>71</v>
      </c>
      <c r="K659" t="s">
        <v>1504</v>
      </c>
    </row>
    <row r="660" spans="1:11">
      <c r="A660" t="s">
        <v>1505</v>
      </c>
      <c r="B660" s="5">
        <v>46210</v>
      </c>
      <c r="C660" t="s">
        <v>1502</v>
      </c>
      <c r="D660" t="s">
        <v>67</v>
      </c>
      <c r="E660" t="s">
        <v>40</v>
      </c>
      <c r="F660" t="s">
        <v>68</v>
      </c>
      <c r="G660" t="s">
        <v>124</v>
      </c>
      <c r="H660" t="s">
        <v>125</v>
      </c>
      <c r="I660" s="6">
        <v>8</v>
      </c>
      <c r="J660" t="s">
        <v>71</v>
      </c>
      <c r="K660" t="s">
        <v>1506</v>
      </c>
    </row>
    <row r="661" spans="1:11">
      <c r="A661" t="s">
        <v>1507</v>
      </c>
      <c r="B661" s="5">
        <v>46211</v>
      </c>
      <c r="C661" t="s">
        <v>1502</v>
      </c>
      <c r="D661" t="s">
        <v>67</v>
      </c>
      <c r="E661" t="s">
        <v>40</v>
      </c>
      <c r="F661" t="s">
        <v>68</v>
      </c>
      <c r="G661" t="s">
        <v>89</v>
      </c>
      <c r="H661" t="s">
        <v>90</v>
      </c>
      <c r="I661" s="6">
        <v>9.5</v>
      </c>
      <c r="J661" t="s">
        <v>71</v>
      </c>
      <c r="K661" t="s">
        <v>1508</v>
      </c>
    </row>
    <row r="662" spans="1:11">
      <c r="A662" t="s">
        <v>1509</v>
      </c>
      <c r="B662" s="5">
        <v>46216</v>
      </c>
      <c r="C662" t="s">
        <v>1502</v>
      </c>
      <c r="D662" t="s">
        <v>67</v>
      </c>
      <c r="E662" t="s">
        <v>40</v>
      </c>
      <c r="F662" t="s">
        <v>68</v>
      </c>
      <c r="G662" t="s">
        <v>171</v>
      </c>
      <c r="H662" t="s">
        <v>172</v>
      </c>
      <c r="I662" s="6">
        <v>12</v>
      </c>
      <c r="J662" t="s">
        <v>71</v>
      </c>
      <c r="K662" t="s">
        <v>173</v>
      </c>
    </row>
    <row r="663" spans="1:11">
      <c r="A663" t="s">
        <v>1510</v>
      </c>
      <c r="B663" s="5">
        <v>46217</v>
      </c>
      <c r="C663" t="s">
        <v>1502</v>
      </c>
      <c r="D663" t="s">
        <v>67</v>
      </c>
      <c r="E663" t="s">
        <v>17</v>
      </c>
      <c r="F663" t="s">
        <v>68</v>
      </c>
      <c r="G663" t="s">
        <v>671</v>
      </c>
      <c r="H663" t="s">
        <v>672</v>
      </c>
      <c r="I663" s="6">
        <v>8</v>
      </c>
      <c r="J663" t="s">
        <v>71</v>
      </c>
      <c r="K663" t="s">
        <v>673</v>
      </c>
    </row>
    <row r="664" spans="1:11">
      <c r="A664" t="s">
        <v>1511</v>
      </c>
      <c r="B664" s="5">
        <v>46218</v>
      </c>
      <c r="C664" t="s">
        <v>1502</v>
      </c>
      <c r="D664" t="s">
        <v>67</v>
      </c>
      <c r="E664" t="s">
        <v>40</v>
      </c>
      <c r="F664" t="s">
        <v>68</v>
      </c>
      <c r="G664" t="s">
        <v>1512</v>
      </c>
      <c r="H664" t="s">
        <v>112</v>
      </c>
      <c r="I664" s="6">
        <v>5</v>
      </c>
      <c r="J664" t="s">
        <v>71</v>
      </c>
      <c r="K664" t="s">
        <v>1513</v>
      </c>
    </row>
    <row r="665" spans="1:11">
      <c r="A665" t="s">
        <v>1514</v>
      </c>
      <c r="B665" s="5">
        <v>46218</v>
      </c>
      <c r="C665" t="s">
        <v>1515</v>
      </c>
      <c r="D665" t="s">
        <v>67</v>
      </c>
      <c r="E665" t="s">
        <v>40</v>
      </c>
      <c r="F665" t="s">
        <v>82</v>
      </c>
      <c r="G665" t="s">
        <v>1516</v>
      </c>
      <c r="H665" t="s">
        <v>1517</v>
      </c>
      <c r="I665" s="6">
        <v>8.5</v>
      </c>
      <c r="J665" t="s">
        <v>71</v>
      </c>
      <c r="K665" t="s">
        <v>1518</v>
      </c>
    </row>
    <row r="666" spans="1:11">
      <c r="A666" t="s">
        <v>1519</v>
      </c>
      <c r="B666" s="5">
        <v>46204</v>
      </c>
      <c r="C666" t="s">
        <v>1520</v>
      </c>
      <c r="D666" t="s">
        <v>67</v>
      </c>
      <c r="E666" t="s">
        <v>40</v>
      </c>
      <c r="F666" t="s">
        <v>179</v>
      </c>
      <c r="G666" t="s">
        <v>1521</v>
      </c>
      <c r="H666" t="s">
        <v>418</v>
      </c>
      <c r="I666" s="6">
        <v>8.5</v>
      </c>
      <c r="J666" t="s">
        <v>71</v>
      </c>
      <c r="K666" t="s">
        <v>1522</v>
      </c>
    </row>
    <row r="667" spans="1:11">
      <c r="A667" t="s">
        <v>1523</v>
      </c>
      <c r="B667" s="5">
        <v>46205</v>
      </c>
      <c r="C667" t="s">
        <v>1520</v>
      </c>
      <c r="D667" t="s">
        <v>67</v>
      </c>
      <c r="E667" t="s">
        <v>40</v>
      </c>
      <c r="F667" t="s">
        <v>179</v>
      </c>
      <c r="G667" t="s">
        <v>417</v>
      </c>
      <c r="H667" t="s">
        <v>418</v>
      </c>
      <c r="I667" s="6">
        <v>12.5</v>
      </c>
      <c r="J667" t="s">
        <v>71</v>
      </c>
      <c r="K667" t="s">
        <v>419</v>
      </c>
    </row>
    <row r="668" spans="1:11">
      <c r="A668" t="s">
        <v>1524</v>
      </c>
      <c r="B668" s="5">
        <v>46206</v>
      </c>
      <c r="C668" t="s">
        <v>1520</v>
      </c>
      <c r="D668" t="s">
        <v>67</v>
      </c>
      <c r="E668" t="s">
        <v>40</v>
      </c>
      <c r="F668" t="s">
        <v>82</v>
      </c>
      <c r="G668" t="s">
        <v>653</v>
      </c>
      <c r="H668" t="s">
        <v>654</v>
      </c>
      <c r="I668" s="6">
        <v>6.5</v>
      </c>
      <c r="J668" t="s">
        <v>71</v>
      </c>
      <c r="K668" t="s">
        <v>655</v>
      </c>
    </row>
    <row r="669" spans="1:11">
      <c r="A669" t="s">
        <v>1525</v>
      </c>
      <c r="B669" s="5">
        <v>46209</v>
      </c>
      <c r="C669" t="s">
        <v>1520</v>
      </c>
      <c r="D669" t="s">
        <v>67</v>
      </c>
      <c r="E669" t="s">
        <v>40</v>
      </c>
      <c r="F669" t="s">
        <v>82</v>
      </c>
      <c r="G669" t="s">
        <v>657</v>
      </c>
      <c r="H669" t="s">
        <v>658</v>
      </c>
      <c r="I669" s="6">
        <v>8</v>
      </c>
      <c r="J669" t="s">
        <v>71</v>
      </c>
      <c r="K669" t="s">
        <v>659</v>
      </c>
    </row>
    <row r="670" spans="1:11">
      <c r="A670" t="s">
        <v>1526</v>
      </c>
      <c r="B670" s="5">
        <v>46210</v>
      </c>
      <c r="C670" t="s">
        <v>1520</v>
      </c>
      <c r="D670" t="s">
        <v>67</v>
      </c>
      <c r="E670" t="s">
        <v>40</v>
      </c>
      <c r="F670" t="s">
        <v>179</v>
      </c>
      <c r="G670" t="s">
        <v>1527</v>
      </c>
      <c r="H670" t="s">
        <v>418</v>
      </c>
      <c r="I670" s="6">
        <v>13</v>
      </c>
      <c r="J670" t="s">
        <v>71</v>
      </c>
      <c r="K670" t="s">
        <v>1528</v>
      </c>
    </row>
    <row r="671" spans="1:11">
      <c r="A671" t="s">
        <v>1529</v>
      </c>
      <c r="B671" s="5">
        <v>46211</v>
      </c>
      <c r="C671" t="s">
        <v>1520</v>
      </c>
      <c r="D671" t="s">
        <v>67</v>
      </c>
      <c r="E671" t="s">
        <v>40</v>
      </c>
      <c r="F671" t="s">
        <v>82</v>
      </c>
      <c r="G671" t="s">
        <v>162</v>
      </c>
      <c r="H671" t="s">
        <v>163</v>
      </c>
      <c r="I671" s="6">
        <v>7.5</v>
      </c>
      <c r="J671" t="s">
        <v>71</v>
      </c>
      <c r="K671" t="s">
        <v>164</v>
      </c>
    </row>
    <row r="672" spans="1:11">
      <c r="A672" t="s">
        <v>1530</v>
      </c>
      <c r="B672" s="5">
        <v>46212</v>
      </c>
      <c r="C672" t="s">
        <v>1520</v>
      </c>
      <c r="D672" t="s">
        <v>67</v>
      </c>
      <c r="E672" t="s">
        <v>40</v>
      </c>
      <c r="F672" t="s">
        <v>68</v>
      </c>
      <c r="G672" t="s">
        <v>1531</v>
      </c>
      <c r="H672" t="s">
        <v>528</v>
      </c>
      <c r="I672" s="6">
        <v>10.5</v>
      </c>
      <c r="J672" t="s">
        <v>71</v>
      </c>
      <c r="K672" t="s">
        <v>1532</v>
      </c>
    </row>
    <row r="673" spans="1:11">
      <c r="A673" t="s">
        <v>1533</v>
      </c>
      <c r="B673" s="5">
        <v>46213</v>
      </c>
      <c r="C673" t="s">
        <v>1520</v>
      </c>
      <c r="D673" t="s">
        <v>67</v>
      </c>
      <c r="E673" t="s">
        <v>40</v>
      </c>
      <c r="F673" t="s">
        <v>82</v>
      </c>
      <c r="G673" t="s">
        <v>1534</v>
      </c>
      <c r="H673" t="s">
        <v>1325</v>
      </c>
      <c r="I673" s="6">
        <v>7</v>
      </c>
      <c r="J673" t="s">
        <v>71</v>
      </c>
      <c r="K673" t="s">
        <v>1535</v>
      </c>
    </row>
    <row r="674" spans="1:11">
      <c r="A674" t="s">
        <v>1536</v>
      </c>
      <c r="B674" s="5">
        <v>46216</v>
      </c>
      <c r="C674" t="s">
        <v>1520</v>
      </c>
      <c r="D674" t="s">
        <v>67</v>
      </c>
      <c r="E674" t="s">
        <v>40</v>
      </c>
      <c r="F674" t="s">
        <v>179</v>
      </c>
      <c r="G674" t="s">
        <v>1537</v>
      </c>
      <c r="H674" t="s">
        <v>418</v>
      </c>
      <c r="I674" s="6">
        <v>8.5</v>
      </c>
      <c r="J674" t="s">
        <v>71</v>
      </c>
      <c r="K674" t="s">
        <v>1538</v>
      </c>
    </row>
    <row r="675" spans="1:11">
      <c r="A675" t="s">
        <v>1539</v>
      </c>
      <c r="B675" s="5">
        <v>46217</v>
      </c>
      <c r="C675" t="s">
        <v>1520</v>
      </c>
      <c r="D675" t="s">
        <v>67</v>
      </c>
      <c r="E675" t="s">
        <v>40</v>
      </c>
      <c r="F675" t="s">
        <v>68</v>
      </c>
      <c r="G675" t="s">
        <v>102</v>
      </c>
      <c r="H675" t="s">
        <v>103</v>
      </c>
      <c r="I675" s="6">
        <v>8</v>
      </c>
      <c r="J675" t="s">
        <v>71</v>
      </c>
      <c r="K675" t="s">
        <v>108</v>
      </c>
    </row>
    <row r="676" spans="1:11">
      <c r="A676" t="s">
        <v>1540</v>
      </c>
      <c r="B676" s="5">
        <v>46218</v>
      </c>
      <c r="C676" t="s">
        <v>1520</v>
      </c>
      <c r="D676" t="s">
        <v>67</v>
      </c>
      <c r="E676" t="s">
        <v>40</v>
      </c>
      <c r="F676" t="s">
        <v>179</v>
      </c>
      <c r="G676" t="s">
        <v>1541</v>
      </c>
      <c r="H676" t="s">
        <v>418</v>
      </c>
      <c r="I676" s="6">
        <v>7.5</v>
      </c>
      <c r="J676" t="s">
        <v>71</v>
      </c>
      <c r="K676" t="s">
        <v>1542</v>
      </c>
    </row>
    <row r="677" spans="1:11">
      <c r="A677" t="s">
        <v>1543</v>
      </c>
      <c r="B677" s="5">
        <v>46204</v>
      </c>
      <c r="C677" t="s">
        <v>1544</v>
      </c>
      <c r="D677" t="s">
        <v>67</v>
      </c>
      <c r="E677" t="s">
        <v>40</v>
      </c>
      <c r="F677" t="s">
        <v>82</v>
      </c>
      <c r="G677" t="s">
        <v>1032</v>
      </c>
      <c r="H677" t="s">
        <v>317</v>
      </c>
      <c r="I677" s="6">
        <v>10.5</v>
      </c>
      <c r="J677" t="s">
        <v>71</v>
      </c>
      <c r="K677" t="s">
        <v>1085</v>
      </c>
    </row>
    <row r="678" spans="1:11">
      <c r="A678" t="s">
        <v>1545</v>
      </c>
      <c r="B678" s="5">
        <v>46205</v>
      </c>
      <c r="C678" t="s">
        <v>1544</v>
      </c>
      <c r="D678" t="s">
        <v>67</v>
      </c>
      <c r="E678" t="s">
        <v>40</v>
      </c>
      <c r="F678" t="s">
        <v>82</v>
      </c>
      <c r="G678" t="s">
        <v>1032</v>
      </c>
      <c r="H678" t="s">
        <v>317</v>
      </c>
      <c r="I678" s="6">
        <v>10.5</v>
      </c>
      <c r="J678" t="s">
        <v>71</v>
      </c>
      <c r="K678" t="s">
        <v>1085</v>
      </c>
    </row>
    <row r="679" spans="1:11">
      <c r="A679" t="s">
        <v>1546</v>
      </c>
      <c r="B679" s="5">
        <v>46206</v>
      </c>
      <c r="C679" t="s">
        <v>1544</v>
      </c>
      <c r="D679" t="s">
        <v>67</v>
      </c>
      <c r="E679" t="s">
        <v>40</v>
      </c>
      <c r="F679" t="s">
        <v>82</v>
      </c>
      <c r="G679" t="s">
        <v>1032</v>
      </c>
      <c r="H679" t="s">
        <v>317</v>
      </c>
      <c r="I679" s="6">
        <v>10.5</v>
      </c>
      <c r="J679" t="s">
        <v>71</v>
      </c>
      <c r="K679" t="s">
        <v>1085</v>
      </c>
    </row>
    <row r="680" spans="1:11">
      <c r="A680" t="s">
        <v>1547</v>
      </c>
      <c r="B680" s="5">
        <v>46207</v>
      </c>
      <c r="C680" t="s">
        <v>1544</v>
      </c>
      <c r="D680" t="s">
        <v>67</v>
      </c>
      <c r="E680" t="s">
        <v>40</v>
      </c>
      <c r="F680" t="s">
        <v>82</v>
      </c>
      <c r="G680" t="s">
        <v>1032</v>
      </c>
      <c r="H680" t="s">
        <v>317</v>
      </c>
      <c r="I680" s="6">
        <v>6.5</v>
      </c>
      <c r="J680" t="s">
        <v>71</v>
      </c>
      <c r="K680" t="s">
        <v>1548</v>
      </c>
    </row>
    <row r="681" spans="1:11">
      <c r="A681" t="s">
        <v>1549</v>
      </c>
      <c r="B681" s="5">
        <v>46209</v>
      </c>
      <c r="C681" t="s">
        <v>1544</v>
      </c>
      <c r="D681" t="s">
        <v>67</v>
      </c>
      <c r="E681" t="s">
        <v>40</v>
      </c>
      <c r="F681" t="s">
        <v>82</v>
      </c>
      <c r="G681" t="s">
        <v>1032</v>
      </c>
      <c r="H681" t="s">
        <v>317</v>
      </c>
      <c r="I681" s="6">
        <v>10.5</v>
      </c>
      <c r="J681" t="s">
        <v>71</v>
      </c>
      <c r="K681" t="s">
        <v>1085</v>
      </c>
    </row>
    <row r="682" spans="1:11">
      <c r="A682" t="s">
        <v>1550</v>
      </c>
      <c r="B682" s="5">
        <v>46210</v>
      </c>
      <c r="C682" t="s">
        <v>1544</v>
      </c>
      <c r="D682" t="s">
        <v>67</v>
      </c>
      <c r="E682" t="s">
        <v>40</v>
      </c>
      <c r="F682" t="s">
        <v>82</v>
      </c>
      <c r="G682" t="s">
        <v>1032</v>
      </c>
      <c r="H682" t="s">
        <v>317</v>
      </c>
      <c r="I682" s="6">
        <v>10.5</v>
      </c>
      <c r="J682" t="s">
        <v>71</v>
      </c>
      <c r="K682" t="s">
        <v>1085</v>
      </c>
    </row>
    <row r="683" spans="1:11">
      <c r="A683" t="s">
        <v>1551</v>
      </c>
      <c r="B683" s="5">
        <v>46211</v>
      </c>
      <c r="C683" t="s">
        <v>1544</v>
      </c>
      <c r="D683" t="s">
        <v>67</v>
      </c>
      <c r="E683" t="s">
        <v>40</v>
      </c>
      <c r="F683" t="s">
        <v>82</v>
      </c>
      <c r="G683" t="s">
        <v>1032</v>
      </c>
      <c r="H683" t="s">
        <v>317</v>
      </c>
      <c r="I683" s="6">
        <v>10.5</v>
      </c>
      <c r="J683" t="s">
        <v>71</v>
      </c>
      <c r="K683" t="s">
        <v>1085</v>
      </c>
    </row>
    <row r="684" spans="1:11">
      <c r="A684" t="s">
        <v>1552</v>
      </c>
      <c r="B684" s="5">
        <v>46212</v>
      </c>
      <c r="C684" t="s">
        <v>1544</v>
      </c>
      <c r="D684" t="s">
        <v>67</v>
      </c>
      <c r="E684" t="s">
        <v>40</v>
      </c>
      <c r="F684" t="s">
        <v>82</v>
      </c>
      <c r="G684" t="s">
        <v>1032</v>
      </c>
      <c r="H684" t="s">
        <v>317</v>
      </c>
      <c r="I684" s="6">
        <v>10.5</v>
      </c>
      <c r="J684" t="s">
        <v>71</v>
      </c>
      <c r="K684" t="s">
        <v>1085</v>
      </c>
    </row>
    <row r="685" spans="1:11">
      <c r="A685" t="s">
        <v>1553</v>
      </c>
      <c r="B685" s="5">
        <v>46213</v>
      </c>
      <c r="C685" t="s">
        <v>1544</v>
      </c>
      <c r="D685" t="s">
        <v>67</v>
      </c>
      <c r="E685" t="s">
        <v>40</v>
      </c>
      <c r="F685" t="s">
        <v>82</v>
      </c>
      <c r="G685" t="s">
        <v>1032</v>
      </c>
      <c r="H685" t="s">
        <v>317</v>
      </c>
      <c r="I685" s="6">
        <v>10.5</v>
      </c>
      <c r="J685" t="s">
        <v>71</v>
      </c>
      <c r="K685" t="s">
        <v>1085</v>
      </c>
    </row>
    <row r="686" spans="1:11">
      <c r="A686" t="s">
        <v>1554</v>
      </c>
      <c r="B686" s="5">
        <v>46216</v>
      </c>
      <c r="C686" t="s">
        <v>1544</v>
      </c>
      <c r="D686" t="s">
        <v>67</v>
      </c>
      <c r="E686" t="s">
        <v>40</v>
      </c>
      <c r="F686" t="s">
        <v>82</v>
      </c>
      <c r="G686" t="s">
        <v>1032</v>
      </c>
      <c r="H686" t="s">
        <v>317</v>
      </c>
      <c r="I686" s="6">
        <v>10.5</v>
      </c>
      <c r="J686" t="s">
        <v>71</v>
      </c>
      <c r="K686" t="s">
        <v>1085</v>
      </c>
    </row>
    <row r="687" spans="1:11">
      <c r="A687" t="s">
        <v>1555</v>
      </c>
      <c r="B687" s="5">
        <v>46217</v>
      </c>
      <c r="C687" t="s">
        <v>1544</v>
      </c>
      <c r="D687" t="s">
        <v>67</v>
      </c>
      <c r="E687" t="s">
        <v>40</v>
      </c>
      <c r="F687" t="s">
        <v>82</v>
      </c>
      <c r="G687" t="s">
        <v>1032</v>
      </c>
      <c r="H687" t="s">
        <v>317</v>
      </c>
      <c r="I687" s="6">
        <v>10.5</v>
      </c>
      <c r="J687" t="s">
        <v>71</v>
      </c>
      <c r="K687" t="s">
        <v>1085</v>
      </c>
    </row>
    <row r="688" spans="1:11">
      <c r="A688" t="s">
        <v>1556</v>
      </c>
      <c r="B688" s="5">
        <v>46218</v>
      </c>
      <c r="C688" t="s">
        <v>1544</v>
      </c>
      <c r="D688" t="s">
        <v>67</v>
      </c>
      <c r="E688" t="s">
        <v>40</v>
      </c>
      <c r="F688" t="s">
        <v>82</v>
      </c>
      <c r="G688" t="s">
        <v>1032</v>
      </c>
      <c r="H688" t="s">
        <v>317</v>
      </c>
      <c r="I688" s="6">
        <v>10.5</v>
      </c>
      <c r="J688" t="s">
        <v>71</v>
      </c>
      <c r="K688" t="s">
        <v>1085</v>
      </c>
    </row>
    <row r="689" spans="1:11">
      <c r="A689" t="s">
        <v>1557</v>
      </c>
      <c r="B689" s="5">
        <v>46204</v>
      </c>
      <c r="C689" t="s">
        <v>1558</v>
      </c>
      <c r="D689" t="s">
        <v>67</v>
      </c>
      <c r="E689" t="s">
        <v>40</v>
      </c>
      <c r="F689" t="s">
        <v>68</v>
      </c>
      <c r="G689" t="s">
        <v>413</v>
      </c>
      <c r="H689" t="s">
        <v>414</v>
      </c>
      <c r="I689" s="6">
        <v>8.5</v>
      </c>
      <c r="J689" t="s">
        <v>71</v>
      </c>
      <c r="K689" t="s">
        <v>687</v>
      </c>
    </row>
    <row r="690" spans="1:11">
      <c r="A690" t="s">
        <v>1559</v>
      </c>
      <c r="B690" s="5">
        <v>46205</v>
      </c>
      <c r="C690" t="s">
        <v>1558</v>
      </c>
      <c r="D690" t="s">
        <v>67</v>
      </c>
      <c r="E690" t="s">
        <v>40</v>
      </c>
      <c r="F690" t="s">
        <v>68</v>
      </c>
      <c r="G690" t="s">
        <v>292</v>
      </c>
      <c r="H690" t="s">
        <v>293</v>
      </c>
      <c r="I690" s="6">
        <v>8.5</v>
      </c>
      <c r="J690" t="s">
        <v>71</v>
      </c>
      <c r="K690" t="s">
        <v>294</v>
      </c>
    </row>
    <row r="691" spans="1:11">
      <c r="A691" t="s">
        <v>1560</v>
      </c>
      <c r="B691" s="5">
        <v>46206</v>
      </c>
      <c r="C691" t="s">
        <v>1558</v>
      </c>
      <c r="D691" t="s">
        <v>67</v>
      </c>
      <c r="E691" t="s">
        <v>40</v>
      </c>
      <c r="F691" t="s">
        <v>68</v>
      </c>
      <c r="G691" t="s">
        <v>292</v>
      </c>
      <c r="H691" t="s">
        <v>293</v>
      </c>
      <c r="I691" s="6">
        <v>8.5</v>
      </c>
      <c r="J691" t="s">
        <v>71</v>
      </c>
      <c r="K691" t="s">
        <v>294</v>
      </c>
    </row>
    <row r="692" spans="1:11">
      <c r="A692" t="s">
        <v>1561</v>
      </c>
      <c r="B692" s="5">
        <v>46207</v>
      </c>
      <c r="C692" t="s">
        <v>1558</v>
      </c>
      <c r="D692" t="s">
        <v>67</v>
      </c>
      <c r="E692" t="s">
        <v>40</v>
      </c>
      <c r="F692" t="s">
        <v>68</v>
      </c>
      <c r="G692" t="s">
        <v>117</v>
      </c>
      <c r="H692" t="s">
        <v>118</v>
      </c>
      <c r="I692" s="6">
        <v>10.5</v>
      </c>
      <c r="J692" t="s">
        <v>71</v>
      </c>
      <c r="K692" t="s">
        <v>1149</v>
      </c>
    </row>
    <row r="693" spans="1:11">
      <c r="A693" t="s">
        <v>1562</v>
      </c>
      <c r="B693" s="5">
        <v>46208</v>
      </c>
      <c r="C693" t="s">
        <v>1558</v>
      </c>
      <c r="D693" t="s">
        <v>67</v>
      </c>
      <c r="E693" t="s">
        <v>40</v>
      </c>
      <c r="F693" t="s">
        <v>68</v>
      </c>
      <c r="G693" t="s">
        <v>117</v>
      </c>
      <c r="H693" t="s">
        <v>118</v>
      </c>
      <c r="I693" s="6">
        <v>10.5</v>
      </c>
      <c r="J693" t="s">
        <v>71</v>
      </c>
      <c r="K693" t="s">
        <v>1149</v>
      </c>
    </row>
    <row r="694" spans="1:11">
      <c r="A694" t="s">
        <v>1563</v>
      </c>
      <c r="B694" s="5">
        <v>46209</v>
      </c>
      <c r="C694" t="s">
        <v>1558</v>
      </c>
      <c r="D694" t="s">
        <v>67</v>
      </c>
      <c r="E694" t="s">
        <v>40</v>
      </c>
      <c r="F694" t="s">
        <v>68</v>
      </c>
      <c r="G694" t="s">
        <v>292</v>
      </c>
      <c r="H694" t="s">
        <v>293</v>
      </c>
      <c r="I694" s="6">
        <v>8.5</v>
      </c>
      <c r="J694" t="s">
        <v>71</v>
      </c>
      <c r="K694" t="s">
        <v>294</v>
      </c>
    </row>
    <row r="695" spans="1:11">
      <c r="A695" t="s">
        <v>1564</v>
      </c>
      <c r="B695" s="5">
        <v>46210</v>
      </c>
      <c r="C695" t="s">
        <v>1558</v>
      </c>
      <c r="D695" t="s">
        <v>67</v>
      </c>
      <c r="E695" t="s">
        <v>40</v>
      </c>
      <c r="F695" t="s">
        <v>68</v>
      </c>
      <c r="G695" t="s">
        <v>1565</v>
      </c>
      <c r="H695" t="s">
        <v>1566</v>
      </c>
      <c r="I695" s="6">
        <v>10</v>
      </c>
      <c r="J695" t="s">
        <v>71</v>
      </c>
      <c r="K695" t="s">
        <v>1567</v>
      </c>
    </row>
    <row r="696" spans="1:11">
      <c r="A696" t="s">
        <v>1568</v>
      </c>
      <c r="B696" s="5">
        <v>46211</v>
      </c>
      <c r="C696" t="s">
        <v>1558</v>
      </c>
      <c r="D696" t="s">
        <v>67</v>
      </c>
      <c r="E696" t="s">
        <v>40</v>
      </c>
      <c r="F696" t="s">
        <v>68</v>
      </c>
      <c r="G696" t="s">
        <v>292</v>
      </c>
      <c r="H696" t="s">
        <v>293</v>
      </c>
      <c r="I696" s="6">
        <v>8.5</v>
      </c>
      <c r="J696" t="s">
        <v>71</v>
      </c>
      <c r="K696" t="s">
        <v>294</v>
      </c>
    </row>
    <row r="697" spans="1:11">
      <c r="A697" t="s">
        <v>1569</v>
      </c>
      <c r="B697" s="5">
        <v>46212</v>
      </c>
      <c r="C697" t="s">
        <v>1558</v>
      </c>
      <c r="D697" t="s">
        <v>67</v>
      </c>
      <c r="E697" t="s">
        <v>40</v>
      </c>
      <c r="F697" t="s">
        <v>68</v>
      </c>
      <c r="G697" t="s">
        <v>292</v>
      </c>
      <c r="H697" t="s">
        <v>293</v>
      </c>
      <c r="I697" s="6">
        <v>8.5</v>
      </c>
      <c r="J697" t="s">
        <v>71</v>
      </c>
      <c r="K697" t="s">
        <v>294</v>
      </c>
    </row>
    <row r="698" spans="1:11">
      <c r="A698" t="s">
        <v>1570</v>
      </c>
      <c r="B698" s="5">
        <v>46213</v>
      </c>
      <c r="C698" t="s">
        <v>1558</v>
      </c>
      <c r="D698" t="s">
        <v>67</v>
      </c>
      <c r="E698" t="s">
        <v>40</v>
      </c>
      <c r="F698" t="s">
        <v>68</v>
      </c>
      <c r="G698" t="s">
        <v>292</v>
      </c>
      <c r="H698" t="s">
        <v>293</v>
      </c>
      <c r="I698" s="6">
        <v>8.5</v>
      </c>
      <c r="J698" t="s">
        <v>71</v>
      </c>
      <c r="K698" t="s">
        <v>294</v>
      </c>
    </row>
    <row r="699" spans="1:11">
      <c r="A699" t="s">
        <v>1571</v>
      </c>
      <c r="B699" s="5">
        <v>46217</v>
      </c>
      <c r="C699" t="s">
        <v>1558</v>
      </c>
      <c r="D699" t="s">
        <v>67</v>
      </c>
      <c r="E699" t="s">
        <v>40</v>
      </c>
      <c r="F699" t="s">
        <v>68</v>
      </c>
      <c r="G699" t="s">
        <v>549</v>
      </c>
      <c r="H699" t="s">
        <v>550</v>
      </c>
      <c r="I699" s="6">
        <v>9.5</v>
      </c>
      <c r="J699" t="s">
        <v>71</v>
      </c>
      <c r="K699" t="s">
        <v>555</v>
      </c>
    </row>
    <row r="700" spans="1:11">
      <c r="A700" t="s">
        <v>1572</v>
      </c>
      <c r="B700" s="5">
        <v>46218</v>
      </c>
      <c r="C700" t="s">
        <v>1558</v>
      </c>
      <c r="D700" t="s">
        <v>67</v>
      </c>
      <c r="E700" t="s">
        <v>40</v>
      </c>
      <c r="F700" t="s">
        <v>68</v>
      </c>
      <c r="G700" t="s">
        <v>549</v>
      </c>
      <c r="H700" t="s">
        <v>550</v>
      </c>
      <c r="I700" s="6">
        <v>9.5</v>
      </c>
      <c r="J700" t="s">
        <v>71</v>
      </c>
      <c r="K700" t="s">
        <v>555</v>
      </c>
    </row>
    <row r="701" spans="1:11">
      <c r="A701" t="s">
        <v>1573</v>
      </c>
      <c r="B701" s="5">
        <v>46204</v>
      </c>
      <c r="C701" t="s">
        <v>1574</v>
      </c>
      <c r="D701" t="s">
        <v>67</v>
      </c>
      <c r="E701" t="s">
        <v>40</v>
      </c>
      <c r="F701" t="s">
        <v>68</v>
      </c>
      <c r="G701" t="s">
        <v>837</v>
      </c>
      <c r="H701" t="s">
        <v>550</v>
      </c>
      <c r="I701" s="6">
        <v>8.5</v>
      </c>
      <c r="J701" t="s">
        <v>71</v>
      </c>
      <c r="K701" t="s">
        <v>838</v>
      </c>
    </row>
    <row r="702" spans="1:11">
      <c r="A702" t="s">
        <v>1575</v>
      </c>
      <c r="B702" s="5">
        <v>46205</v>
      </c>
      <c r="C702" t="s">
        <v>1574</v>
      </c>
      <c r="D702" t="s">
        <v>67</v>
      </c>
      <c r="E702" t="s">
        <v>40</v>
      </c>
      <c r="F702" t="s">
        <v>68</v>
      </c>
      <c r="G702" t="s">
        <v>837</v>
      </c>
      <c r="H702" t="s">
        <v>550</v>
      </c>
      <c r="I702" s="6">
        <v>8.5</v>
      </c>
      <c r="J702" t="s">
        <v>71</v>
      </c>
      <c r="K702" t="s">
        <v>838</v>
      </c>
    </row>
    <row r="703" spans="1:11">
      <c r="A703" t="s">
        <v>1576</v>
      </c>
      <c r="B703" s="5">
        <v>46210</v>
      </c>
      <c r="C703" t="s">
        <v>1574</v>
      </c>
      <c r="D703" t="s">
        <v>67</v>
      </c>
      <c r="E703" t="s">
        <v>40</v>
      </c>
      <c r="F703" t="s">
        <v>82</v>
      </c>
      <c r="G703" t="s">
        <v>1565</v>
      </c>
      <c r="H703" t="s">
        <v>1566</v>
      </c>
      <c r="I703" s="6">
        <v>15</v>
      </c>
      <c r="J703" t="s">
        <v>71</v>
      </c>
      <c r="K703" t="s">
        <v>1577</v>
      </c>
    </row>
    <row r="704" spans="1:11">
      <c r="A704" t="s">
        <v>1578</v>
      </c>
      <c r="B704" s="5">
        <v>46211</v>
      </c>
      <c r="C704" t="s">
        <v>1574</v>
      </c>
      <c r="D704" t="s">
        <v>67</v>
      </c>
      <c r="E704" t="s">
        <v>40</v>
      </c>
      <c r="F704" t="s">
        <v>82</v>
      </c>
      <c r="G704" t="s">
        <v>1565</v>
      </c>
      <c r="H704" t="s">
        <v>1566</v>
      </c>
      <c r="I704" s="6">
        <v>11</v>
      </c>
      <c r="J704" t="s">
        <v>71</v>
      </c>
      <c r="K704" t="s">
        <v>1579</v>
      </c>
    </row>
    <row r="705" spans="1:11">
      <c r="A705" t="s">
        <v>1580</v>
      </c>
      <c r="B705" s="5">
        <v>46212</v>
      </c>
      <c r="C705" t="s">
        <v>1574</v>
      </c>
      <c r="D705" t="s">
        <v>67</v>
      </c>
      <c r="E705" t="s">
        <v>40</v>
      </c>
      <c r="F705" t="s">
        <v>68</v>
      </c>
      <c r="G705" t="s">
        <v>1366</v>
      </c>
      <c r="H705" t="s">
        <v>1367</v>
      </c>
      <c r="I705" s="6">
        <v>8.25</v>
      </c>
      <c r="J705" t="s">
        <v>71</v>
      </c>
      <c r="K705" t="s">
        <v>1581</v>
      </c>
    </row>
    <row r="706" spans="1:11">
      <c r="A706" t="s">
        <v>1582</v>
      </c>
      <c r="B706" s="5">
        <v>46217</v>
      </c>
      <c r="C706" t="s">
        <v>1574</v>
      </c>
      <c r="D706" t="s">
        <v>67</v>
      </c>
      <c r="E706" t="s">
        <v>40</v>
      </c>
      <c r="F706" t="s">
        <v>68</v>
      </c>
      <c r="G706" t="s">
        <v>1366</v>
      </c>
      <c r="H706" t="s">
        <v>1367</v>
      </c>
      <c r="I706" s="6">
        <v>8.5</v>
      </c>
      <c r="J706" t="s">
        <v>71</v>
      </c>
      <c r="K706" t="s">
        <v>1368</v>
      </c>
    </row>
    <row r="707" spans="1:11">
      <c r="A707" t="s">
        <v>1583</v>
      </c>
      <c r="B707" s="5">
        <v>46218</v>
      </c>
      <c r="C707" t="s">
        <v>1574</v>
      </c>
      <c r="D707" t="s">
        <v>67</v>
      </c>
      <c r="E707" t="s">
        <v>40</v>
      </c>
      <c r="F707" t="s">
        <v>68</v>
      </c>
      <c r="G707" t="s">
        <v>675</v>
      </c>
      <c r="H707" t="s">
        <v>172</v>
      </c>
      <c r="I707" s="6">
        <v>8.5</v>
      </c>
      <c r="J707" t="s">
        <v>71</v>
      </c>
      <c r="K707" t="s">
        <v>1584</v>
      </c>
    </row>
    <row r="708" spans="1:11">
      <c r="A708" t="s">
        <v>1585</v>
      </c>
      <c r="B708" s="5">
        <v>46204</v>
      </c>
      <c r="C708" t="s">
        <v>1586</v>
      </c>
      <c r="D708" t="s">
        <v>67</v>
      </c>
      <c r="E708" t="s">
        <v>40</v>
      </c>
      <c r="F708" t="s">
        <v>179</v>
      </c>
      <c r="G708" t="s">
        <v>111</v>
      </c>
      <c r="H708" t="s">
        <v>112</v>
      </c>
      <c r="I708" s="6">
        <v>8</v>
      </c>
      <c r="J708" t="s">
        <v>71</v>
      </c>
      <c r="K708" t="s">
        <v>1587</v>
      </c>
    </row>
    <row r="709" spans="1:11">
      <c r="A709" t="s">
        <v>1588</v>
      </c>
      <c r="B709" s="5">
        <v>46205</v>
      </c>
      <c r="C709" t="s">
        <v>1586</v>
      </c>
      <c r="D709" t="s">
        <v>67</v>
      </c>
      <c r="E709" t="s">
        <v>40</v>
      </c>
      <c r="F709" t="s">
        <v>179</v>
      </c>
      <c r="G709" t="s">
        <v>320</v>
      </c>
      <c r="H709" t="s">
        <v>321</v>
      </c>
      <c r="I709" s="6">
        <v>7</v>
      </c>
      <c r="J709" t="s">
        <v>71</v>
      </c>
      <c r="K709" t="s">
        <v>1589</v>
      </c>
    </row>
    <row r="710" spans="1:11">
      <c r="A710" t="s">
        <v>1590</v>
      </c>
      <c r="B710" s="5">
        <v>46210</v>
      </c>
      <c r="C710" t="s">
        <v>1586</v>
      </c>
      <c r="D710" t="s">
        <v>67</v>
      </c>
      <c r="E710" t="s">
        <v>40</v>
      </c>
      <c r="F710" t="s">
        <v>68</v>
      </c>
      <c r="G710" t="s">
        <v>1565</v>
      </c>
      <c r="H710" t="s">
        <v>1566</v>
      </c>
      <c r="I710" s="6">
        <v>15</v>
      </c>
      <c r="J710" t="s">
        <v>71</v>
      </c>
      <c r="K710" t="s">
        <v>1591</v>
      </c>
    </row>
    <row r="711" spans="1:11">
      <c r="A711" t="s">
        <v>1592</v>
      </c>
      <c r="B711" s="5">
        <v>46211</v>
      </c>
      <c r="C711" t="s">
        <v>1586</v>
      </c>
      <c r="D711" t="s">
        <v>67</v>
      </c>
      <c r="E711" t="s">
        <v>40</v>
      </c>
      <c r="F711" t="s">
        <v>179</v>
      </c>
      <c r="G711" t="s">
        <v>1565</v>
      </c>
      <c r="H711" t="s">
        <v>1566</v>
      </c>
      <c r="I711" s="6">
        <v>11</v>
      </c>
      <c r="J711" t="s">
        <v>71</v>
      </c>
      <c r="K711" t="s">
        <v>1593</v>
      </c>
    </row>
    <row r="712" spans="1:11">
      <c r="A712" t="s">
        <v>1594</v>
      </c>
      <c r="B712" s="5">
        <v>46212</v>
      </c>
      <c r="C712" t="s">
        <v>1586</v>
      </c>
      <c r="D712" t="s">
        <v>67</v>
      </c>
      <c r="E712" t="s">
        <v>40</v>
      </c>
      <c r="F712" t="s">
        <v>179</v>
      </c>
      <c r="G712" t="s">
        <v>231</v>
      </c>
      <c r="H712" t="s">
        <v>232</v>
      </c>
      <c r="I712" s="6">
        <v>7.5</v>
      </c>
      <c r="J712" t="s">
        <v>71</v>
      </c>
      <c r="K712" t="s">
        <v>1595</v>
      </c>
    </row>
    <row r="713" spans="1:11">
      <c r="A713" t="s">
        <v>1596</v>
      </c>
      <c r="B713" s="5">
        <v>46216</v>
      </c>
      <c r="C713" t="s">
        <v>1586</v>
      </c>
      <c r="D713" t="s">
        <v>67</v>
      </c>
      <c r="E713" t="s">
        <v>40</v>
      </c>
      <c r="F713" t="s">
        <v>68</v>
      </c>
      <c r="G713" t="s">
        <v>171</v>
      </c>
      <c r="H713" t="s">
        <v>172</v>
      </c>
      <c r="I713" s="6">
        <v>12</v>
      </c>
      <c r="J713" t="s">
        <v>71</v>
      </c>
      <c r="K713" t="s">
        <v>173</v>
      </c>
    </row>
    <row r="714" spans="1:11">
      <c r="A714" t="s">
        <v>1597</v>
      </c>
      <c r="B714" s="5">
        <v>46217</v>
      </c>
      <c r="C714" t="s">
        <v>1586</v>
      </c>
      <c r="D714" t="s">
        <v>67</v>
      </c>
      <c r="E714" t="s">
        <v>17</v>
      </c>
      <c r="F714" t="s">
        <v>179</v>
      </c>
      <c r="G714" t="s">
        <v>671</v>
      </c>
      <c r="H714" t="s">
        <v>672</v>
      </c>
      <c r="I714" s="6">
        <v>8</v>
      </c>
      <c r="J714" t="s">
        <v>71</v>
      </c>
      <c r="K714" t="s">
        <v>1598</v>
      </c>
    </row>
    <row r="715" spans="1:11">
      <c r="A715" t="s">
        <v>1599</v>
      </c>
      <c r="B715" s="5">
        <v>46218</v>
      </c>
      <c r="C715" t="s">
        <v>1586</v>
      </c>
      <c r="D715" t="s">
        <v>67</v>
      </c>
      <c r="E715" t="s">
        <v>40</v>
      </c>
      <c r="F715" t="s">
        <v>179</v>
      </c>
      <c r="G715" t="s">
        <v>675</v>
      </c>
      <c r="H715" t="s">
        <v>172</v>
      </c>
      <c r="I715" s="6">
        <v>8.5</v>
      </c>
      <c r="J715" t="s">
        <v>71</v>
      </c>
      <c r="K715" t="s">
        <v>1600</v>
      </c>
    </row>
    <row r="716" spans="1:11">
      <c r="A716" t="s">
        <v>1601</v>
      </c>
      <c r="B716" s="5">
        <v>46205</v>
      </c>
      <c r="C716" t="s">
        <v>1602</v>
      </c>
      <c r="D716" t="s">
        <v>67</v>
      </c>
      <c r="E716" t="s">
        <v>9</v>
      </c>
      <c r="F716" t="s">
        <v>68</v>
      </c>
      <c r="G716" t="s">
        <v>856</v>
      </c>
      <c r="H716" t="s">
        <v>857</v>
      </c>
      <c r="I716" s="6">
        <v>10.5</v>
      </c>
      <c r="J716" t="s">
        <v>71</v>
      </c>
      <c r="K716" t="s">
        <v>1603</v>
      </c>
    </row>
    <row r="717" spans="1:11">
      <c r="A717" t="s">
        <v>1604</v>
      </c>
      <c r="B717" s="5">
        <v>46206</v>
      </c>
      <c r="C717" t="s">
        <v>1602</v>
      </c>
      <c r="D717" t="s">
        <v>67</v>
      </c>
      <c r="E717" t="s">
        <v>9</v>
      </c>
      <c r="F717" t="s">
        <v>68</v>
      </c>
      <c r="G717" t="s">
        <v>856</v>
      </c>
      <c r="H717" t="s">
        <v>857</v>
      </c>
      <c r="I717" s="6">
        <v>9</v>
      </c>
      <c r="J717" t="s">
        <v>71</v>
      </c>
      <c r="K717" t="s">
        <v>1605</v>
      </c>
    </row>
    <row r="718" spans="1:11">
      <c r="A718" t="s">
        <v>1606</v>
      </c>
      <c r="B718" s="5">
        <v>46209</v>
      </c>
      <c r="C718" t="s">
        <v>1602</v>
      </c>
      <c r="D718" t="s">
        <v>67</v>
      </c>
      <c r="E718" t="s">
        <v>9</v>
      </c>
      <c r="F718" t="s">
        <v>82</v>
      </c>
      <c r="G718" t="s">
        <v>856</v>
      </c>
      <c r="H718" t="s">
        <v>857</v>
      </c>
      <c r="I718" s="6">
        <v>10</v>
      </c>
      <c r="J718" t="s">
        <v>71</v>
      </c>
      <c r="K718" t="s">
        <v>1607</v>
      </c>
    </row>
    <row r="719" spans="1:11">
      <c r="A719" t="s">
        <v>1608</v>
      </c>
      <c r="B719" s="5">
        <v>46210</v>
      </c>
      <c r="C719" t="s">
        <v>1602</v>
      </c>
      <c r="D719" t="s">
        <v>67</v>
      </c>
      <c r="E719" t="s">
        <v>9</v>
      </c>
      <c r="F719" t="s">
        <v>82</v>
      </c>
      <c r="G719" t="s">
        <v>856</v>
      </c>
      <c r="H719" t="s">
        <v>857</v>
      </c>
      <c r="I719" s="6">
        <v>8.5</v>
      </c>
      <c r="J719" t="s">
        <v>71</v>
      </c>
      <c r="K719" t="s">
        <v>1609</v>
      </c>
    </row>
    <row r="720" spans="1:11">
      <c r="A720" t="s">
        <v>1610</v>
      </c>
      <c r="B720" s="5">
        <v>46211</v>
      </c>
      <c r="C720" t="s">
        <v>1602</v>
      </c>
      <c r="D720" t="s">
        <v>67</v>
      </c>
      <c r="E720" t="s">
        <v>9</v>
      </c>
      <c r="F720" t="s">
        <v>68</v>
      </c>
      <c r="G720" t="s">
        <v>856</v>
      </c>
      <c r="H720" t="s">
        <v>857</v>
      </c>
      <c r="I720" s="6">
        <v>9.5</v>
      </c>
      <c r="J720" t="s">
        <v>71</v>
      </c>
      <c r="K720" t="s">
        <v>1611</v>
      </c>
    </row>
    <row r="721" spans="1:11">
      <c r="A721" t="s">
        <v>1612</v>
      </c>
      <c r="B721" s="5">
        <v>46212</v>
      </c>
      <c r="C721" t="s">
        <v>1602</v>
      </c>
      <c r="D721" t="s">
        <v>67</v>
      </c>
      <c r="E721" t="s">
        <v>9</v>
      </c>
      <c r="F721" t="s">
        <v>68</v>
      </c>
      <c r="G721" t="s">
        <v>1613</v>
      </c>
      <c r="H721" t="s">
        <v>1614</v>
      </c>
      <c r="I721" s="6">
        <v>10</v>
      </c>
      <c r="J721" t="s">
        <v>71</v>
      </c>
      <c r="K721" t="s">
        <v>1615</v>
      </c>
    </row>
    <row r="722" spans="1:11">
      <c r="A722" t="s">
        <v>1616</v>
      </c>
      <c r="B722" s="5">
        <v>46216</v>
      </c>
      <c r="C722" t="s">
        <v>1602</v>
      </c>
      <c r="D722" t="s">
        <v>67</v>
      </c>
      <c r="E722" t="s">
        <v>9</v>
      </c>
      <c r="F722" t="s">
        <v>68</v>
      </c>
      <c r="G722" t="s">
        <v>509</v>
      </c>
      <c r="H722" t="s">
        <v>510</v>
      </c>
      <c r="I722" s="6">
        <v>6.5</v>
      </c>
      <c r="J722" t="s">
        <v>71</v>
      </c>
      <c r="K722" t="s">
        <v>1617</v>
      </c>
    </row>
    <row r="723" spans="1:11">
      <c r="A723" t="s">
        <v>1618</v>
      </c>
      <c r="B723" s="5">
        <v>46217</v>
      </c>
      <c r="C723" t="s">
        <v>1602</v>
      </c>
      <c r="D723" t="s">
        <v>67</v>
      </c>
      <c r="E723" t="s">
        <v>9</v>
      </c>
      <c r="F723" t="s">
        <v>68</v>
      </c>
      <c r="G723" t="s">
        <v>509</v>
      </c>
      <c r="H723" t="s">
        <v>510</v>
      </c>
      <c r="I723" s="6">
        <v>8.5</v>
      </c>
      <c r="J723" t="s">
        <v>71</v>
      </c>
      <c r="K723" t="s">
        <v>1619</v>
      </c>
    </row>
    <row r="724" spans="1:11">
      <c r="A724" t="s">
        <v>1620</v>
      </c>
      <c r="B724" s="5">
        <v>46218</v>
      </c>
      <c r="C724" t="s">
        <v>1602</v>
      </c>
      <c r="D724" t="s">
        <v>67</v>
      </c>
      <c r="E724" t="s">
        <v>9</v>
      </c>
      <c r="F724" t="s">
        <v>68</v>
      </c>
      <c r="G724" t="s">
        <v>509</v>
      </c>
      <c r="H724" t="s">
        <v>510</v>
      </c>
      <c r="I724" s="6">
        <v>6.5</v>
      </c>
      <c r="J724" t="s">
        <v>71</v>
      </c>
      <c r="K724" t="s">
        <v>1617</v>
      </c>
    </row>
    <row r="725" spans="1:11">
      <c r="A725" t="s">
        <v>1621</v>
      </c>
      <c r="B725" s="5">
        <v>46207</v>
      </c>
      <c r="C725" t="s">
        <v>1622</v>
      </c>
      <c r="D725" t="s">
        <v>67</v>
      </c>
      <c r="E725" t="s">
        <v>17</v>
      </c>
      <c r="F725" t="s">
        <v>179</v>
      </c>
      <c r="G725" t="s">
        <v>1203</v>
      </c>
      <c r="H725" t="s">
        <v>249</v>
      </c>
      <c r="I725" s="6">
        <v>6</v>
      </c>
      <c r="J725" t="s">
        <v>71</v>
      </c>
      <c r="K725" t="s">
        <v>1623</v>
      </c>
    </row>
    <row r="726" spans="1:11">
      <c r="A726" t="s">
        <v>1624</v>
      </c>
      <c r="B726" s="5">
        <v>46204</v>
      </c>
      <c r="C726" t="s">
        <v>1625</v>
      </c>
      <c r="D726" t="s">
        <v>67</v>
      </c>
      <c r="E726" t="s">
        <v>17</v>
      </c>
      <c r="F726" t="s">
        <v>179</v>
      </c>
      <c r="G726" t="s">
        <v>244</v>
      </c>
      <c r="H726" t="s">
        <v>245</v>
      </c>
      <c r="I726" s="6">
        <v>4</v>
      </c>
      <c r="J726" t="s">
        <v>71</v>
      </c>
      <c r="K726" t="s">
        <v>1626</v>
      </c>
    </row>
    <row r="727" spans="1:11">
      <c r="A727" t="s">
        <v>1627</v>
      </c>
      <c r="B727" s="5">
        <v>46205</v>
      </c>
      <c r="C727" t="s">
        <v>1625</v>
      </c>
      <c r="D727" t="s">
        <v>67</v>
      </c>
      <c r="E727" t="s">
        <v>17</v>
      </c>
      <c r="F727" t="s">
        <v>179</v>
      </c>
      <c r="G727" t="s">
        <v>248</v>
      </c>
      <c r="H727" t="s">
        <v>249</v>
      </c>
      <c r="I727" s="6">
        <v>8.5</v>
      </c>
      <c r="J727" t="s">
        <v>71</v>
      </c>
      <c r="K727" t="s">
        <v>1628</v>
      </c>
    </row>
    <row r="728" spans="1:11">
      <c r="A728" t="s">
        <v>1629</v>
      </c>
      <c r="B728" s="5">
        <v>46206</v>
      </c>
      <c r="C728" t="s">
        <v>1625</v>
      </c>
      <c r="D728" t="s">
        <v>67</v>
      </c>
      <c r="E728" t="s">
        <v>17</v>
      </c>
      <c r="F728" t="s">
        <v>68</v>
      </c>
      <c r="G728" t="s">
        <v>252</v>
      </c>
      <c r="H728" t="s">
        <v>249</v>
      </c>
      <c r="I728" s="6">
        <v>8.5</v>
      </c>
      <c r="J728" t="s">
        <v>71</v>
      </c>
      <c r="K728" t="s">
        <v>253</v>
      </c>
    </row>
    <row r="729" spans="1:11">
      <c r="A729" t="s">
        <v>1630</v>
      </c>
      <c r="B729" s="5">
        <v>46209</v>
      </c>
      <c r="C729" t="s">
        <v>1625</v>
      </c>
      <c r="D729" t="s">
        <v>67</v>
      </c>
      <c r="E729" t="s">
        <v>24</v>
      </c>
      <c r="F729" t="s">
        <v>68</v>
      </c>
      <c r="G729" t="s">
        <v>442</v>
      </c>
      <c r="H729" t="s">
        <v>443</v>
      </c>
      <c r="I729" s="6">
        <v>12</v>
      </c>
      <c r="J729" t="s">
        <v>71</v>
      </c>
      <c r="K729" t="s">
        <v>444</v>
      </c>
    </row>
    <row r="730" spans="1:11">
      <c r="A730" t="s">
        <v>1631</v>
      </c>
      <c r="B730" s="5">
        <v>46210</v>
      </c>
      <c r="C730" t="s">
        <v>1625</v>
      </c>
      <c r="D730" t="s">
        <v>67</v>
      </c>
      <c r="E730" t="s">
        <v>446</v>
      </c>
      <c r="F730" t="s">
        <v>179</v>
      </c>
      <c r="G730" t="s">
        <v>447</v>
      </c>
      <c r="H730" t="s">
        <v>448</v>
      </c>
      <c r="I730" s="6">
        <v>18</v>
      </c>
      <c r="J730" t="s">
        <v>95</v>
      </c>
      <c r="K730" t="s">
        <v>1632</v>
      </c>
    </row>
    <row r="731" spans="1:11">
      <c r="A731" t="s">
        <v>1633</v>
      </c>
      <c r="B731" s="5">
        <v>46213</v>
      </c>
      <c r="C731" t="s">
        <v>1625</v>
      </c>
      <c r="D731" t="s">
        <v>67</v>
      </c>
      <c r="E731" t="s">
        <v>17</v>
      </c>
      <c r="F731" t="s">
        <v>179</v>
      </c>
      <c r="G731" t="s">
        <v>244</v>
      </c>
      <c r="H731" t="s">
        <v>245</v>
      </c>
      <c r="I731" s="6">
        <v>7.5</v>
      </c>
      <c r="J731" t="s">
        <v>71</v>
      </c>
      <c r="K731" t="s">
        <v>1634</v>
      </c>
    </row>
    <row r="732" spans="1:11">
      <c r="A732" t="s">
        <v>1635</v>
      </c>
      <c r="B732" s="5">
        <v>46204</v>
      </c>
      <c r="C732" t="s">
        <v>1636</v>
      </c>
      <c r="D732" t="s">
        <v>67</v>
      </c>
      <c r="E732" t="s">
        <v>29</v>
      </c>
      <c r="F732" t="s">
        <v>68</v>
      </c>
      <c r="G732" t="s">
        <v>201</v>
      </c>
      <c r="H732" t="s">
        <v>202</v>
      </c>
      <c r="I732" s="6">
        <v>7</v>
      </c>
      <c r="J732" t="s">
        <v>71</v>
      </c>
      <c r="K732" t="s">
        <v>1427</v>
      </c>
    </row>
    <row r="733" spans="1:11">
      <c r="A733" t="s">
        <v>1637</v>
      </c>
      <c r="B733" s="5">
        <v>46205</v>
      </c>
      <c r="C733" t="s">
        <v>1636</v>
      </c>
      <c r="D733" t="s">
        <v>67</v>
      </c>
      <c r="E733" t="s">
        <v>9</v>
      </c>
      <c r="F733" t="s">
        <v>68</v>
      </c>
      <c r="G733" t="s">
        <v>1638</v>
      </c>
      <c r="H733" t="s">
        <v>1639</v>
      </c>
      <c r="I733" s="6">
        <v>8.5</v>
      </c>
      <c r="J733" t="s">
        <v>71</v>
      </c>
      <c r="K733" t="s">
        <v>1640</v>
      </c>
    </row>
    <row r="734" spans="1:11">
      <c r="A734" t="s">
        <v>1641</v>
      </c>
      <c r="B734" s="5">
        <v>46213</v>
      </c>
      <c r="C734" t="s">
        <v>1636</v>
      </c>
      <c r="D734" t="s">
        <v>67</v>
      </c>
      <c r="E734" t="s">
        <v>29</v>
      </c>
      <c r="F734" t="s">
        <v>68</v>
      </c>
      <c r="G734" t="s">
        <v>752</v>
      </c>
      <c r="H734" t="s">
        <v>753</v>
      </c>
      <c r="I734" s="6">
        <v>6.75</v>
      </c>
      <c r="J734" t="s">
        <v>71</v>
      </c>
      <c r="K734" t="s">
        <v>1642</v>
      </c>
    </row>
    <row r="735" spans="1:11">
      <c r="A735" t="s">
        <v>1643</v>
      </c>
      <c r="B735" s="5">
        <v>46216</v>
      </c>
      <c r="C735" t="s">
        <v>1636</v>
      </c>
      <c r="D735" t="s">
        <v>67</v>
      </c>
      <c r="E735" t="s">
        <v>29</v>
      </c>
      <c r="F735" t="s">
        <v>68</v>
      </c>
      <c r="G735" t="s">
        <v>1190</v>
      </c>
      <c r="H735" t="s">
        <v>1191</v>
      </c>
      <c r="I735" s="6">
        <v>1.25</v>
      </c>
      <c r="J735" t="s">
        <v>71</v>
      </c>
      <c r="K735" t="s">
        <v>1644</v>
      </c>
    </row>
    <row r="736" spans="1:11">
      <c r="A736" t="s">
        <v>1645</v>
      </c>
      <c r="B736" s="5">
        <v>46217</v>
      </c>
      <c r="C736" t="s">
        <v>1636</v>
      </c>
      <c r="D736" t="s">
        <v>67</v>
      </c>
      <c r="E736" t="s">
        <v>29</v>
      </c>
      <c r="F736" t="s">
        <v>68</v>
      </c>
      <c r="G736" t="s">
        <v>1433</v>
      </c>
      <c r="H736" t="s">
        <v>1434</v>
      </c>
      <c r="I736" s="6">
        <v>9.5</v>
      </c>
      <c r="J736" t="s">
        <v>95</v>
      </c>
      <c r="K736" t="s">
        <v>1435</v>
      </c>
    </row>
    <row r="737" spans="1:11">
      <c r="A737" t="s">
        <v>1646</v>
      </c>
      <c r="B737" s="5">
        <v>46218</v>
      </c>
      <c r="C737" t="s">
        <v>1636</v>
      </c>
      <c r="D737" t="s">
        <v>67</v>
      </c>
      <c r="E737" t="s">
        <v>1647</v>
      </c>
      <c r="F737" t="s">
        <v>68</v>
      </c>
      <c r="G737" t="s">
        <v>1648</v>
      </c>
      <c r="H737" t="s">
        <v>1649</v>
      </c>
      <c r="I737" s="6">
        <v>13.42</v>
      </c>
      <c r="J737" t="s">
        <v>95</v>
      </c>
      <c r="K737" t="s">
        <v>1650</v>
      </c>
    </row>
    <row r="738" spans="1:11">
      <c r="A738" t="s">
        <v>1651</v>
      </c>
      <c r="B738" s="5">
        <v>46219</v>
      </c>
      <c r="C738" t="s">
        <v>1636</v>
      </c>
      <c r="D738" t="s">
        <v>67</v>
      </c>
      <c r="E738" t="s">
        <v>29</v>
      </c>
      <c r="F738" t="s">
        <v>68</v>
      </c>
      <c r="G738" t="s">
        <v>1652</v>
      </c>
      <c r="H738" t="s">
        <v>753</v>
      </c>
      <c r="I738" s="6">
        <v>4.5</v>
      </c>
      <c r="J738" t="s">
        <v>71</v>
      </c>
      <c r="K738" t="s">
        <v>1653</v>
      </c>
    </row>
    <row r="739" spans="1:11">
      <c r="A739" t="s">
        <v>1654</v>
      </c>
      <c r="B739" s="5">
        <v>46204</v>
      </c>
      <c r="C739" t="s">
        <v>1655</v>
      </c>
      <c r="D739" t="s">
        <v>67</v>
      </c>
      <c r="E739" t="s">
        <v>17</v>
      </c>
      <c r="F739" t="s">
        <v>68</v>
      </c>
      <c r="G739" t="s">
        <v>489</v>
      </c>
      <c r="H739" t="s">
        <v>490</v>
      </c>
      <c r="I739" s="6">
        <v>7.5</v>
      </c>
      <c r="J739" t="s">
        <v>71</v>
      </c>
      <c r="K739" t="s">
        <v>491</v>
      </c>
    </row>
    <row r="740" spans="1:11">
      <c r="A740" t="s">
        <v>1656</v>
      </c>
      <c r="B740" s="5">
        <v>46205</v>
      </c>
      <c r="C740" t="s">
        <v>1655</v>
      </c>
      <c r="D740" t="s">
        <v>67</v>
      </c>
      <c r="E740" t="s">
        <v>17</v>
      </c>
      <c r="F740" t="s">
        <v>68</v>
      </c>
      <c r="G740" t="s">
        <v>489</v>
      </c>
      <c r="H740" t="s">
        <v>490</v>
      </c>
      <c r="I740" s="6">
        <v>7.5</v>
      </c>
      <c r="J740" t="s">
        <v>71</v>
      </c>
      <c r="K740" t="s">
        <v>491</v>
      </c>
    </row>
    <row r="741" spans="1:11">
      <c r="A741" t="s">
        <v>1657</v>
      </c>
      <c r="B741" s="5">
        <v>46206</v>
      </c>
      <c r="C741" t="s">
        <v>1655</v>
      </c>
      <c r="D741" t="s">
        <v>67</v>
      </c>
      <c r="E741" t="s">
        <v>17</v>
      </c>
      <c r="F741" t="s">
        <v>68</v>
      </c>
      <c r="G741" t="s">
        <v>489</v>
      </c>
      <c r="H741" t="s">
        <v>490</v>
      </c>
      <c r="I741" s="6">
        <v>7.5</v>
      </c>
      <c r="J741" t="s">
        <v>71</v>
      </c>
      <c r="K741" t="s">
        <v>491</v>
      </c>
    </row>
    <row r="742" spans="1:11">
      <c r="A742" t="s">
        <v>1658</v>
      </c>
      <c r="B742" s="5">
        <v>46209</v>
      </c>
      <c r="C742" t="s">
        <v>1655</v>
      </c>
      <c r="D742" t="s">
        <v>67</v>
      </c>
      <c r="E742" t="s">
        <v>17</v>
      </c>
      <c r="F742" t="s">
        <v>68</v>
      </c>
      <c r="G742" t="s">
        <v>489</v>
      </c>
      <c r="H742" t="s">
        <v>490</v>
      </c>
      <c r="I742" s="6">
        <v>7.5</v>
      </c>
      <c r="J742" t="s">
        <v>71</v>
      </c>
      <c r="K742" t="s">
        <v>491</v>
      </c>
    </row>
    <row r="743" spans="1:11">
      <c r="A743" t="s">
        <v>1659</v>
      </c>
      <c r="B743" s="5">
        <v>46210</v>
      </c>
      <c r="C743" t="s">
        <v>1655</v>
      </c>
      <c r="D743" t="s">
        <v>67</v>
      </c>
      <c r="E743" t="s">
        <v>17</v>
      </c>
      <c r="F743" t="s">
        <v>68</v>
      </c>
      <c r="G743" t="s">
        <v>489</v>
      </c>
      <c r="H743" t="s">
        <v>490</v>
      </c>
      <c r="I743" s="6">
        <v>7.5</v>
      </c>
      <c r="J743" t="s">
        <v>71</v>
      </c>
      <c r="K743" t="s">
        <v>491</v>
      </c>
    </row>
    <row r="744" spans="1:11">
      <c r="A744" t="s">
        <v>1660</v>
      </c>
      <c r="B744" s="5">
        <v>46213</v>
      </c>
      <c r="C744" t="s">
        <v>1655</v>
      </c>
      <c r="D744" t="s">
        <v>67</v>
      </c>
      <c r="E744" t="s">
        <v>17</v>
      </c>
      <c r="F744" t="s">
        <v>68</v>
      </c>
      <c r="G744" t="s">
        <v>489</v>
      </c>
      <c r="H744" t="s">
        <v>490</v>
      </c>
      <c r="I744" s="6">
        <v>7.5</v>
      </c>
      <c r="J744" t="s">
        <v>71</v>
      </c>
      <c r="K744" t="s">
        <v>491</v>
      </c>
    </row>
    <row r="745" spans="1:11">
      <c r="A745" t="s">
        <v>1661</v>
      </c>
      <c r="B745" s="5">
        <v>46211</v>
      </c>
      <c r="C745" t="s">
        <v>1662</v>
      </c>
      <c r="D745" t="s">
        <v>67</v>
      </c>
      <c r="E745" t="s">
        <v>29</v>
      </c>
      <c r="F745" t="s">
        <v>68</v>
      </c>
      <c r="G745" t="s">
        <v>201</v>
      </c>
      <c r="H745" t="s">
        <v>202</v>
      </c>
      <c r="I745" s="6">
        <v>8.5</v>
      </c>
      <c r="J745" t="s">
        <v>71</v>
      </c>
      <c r="K745" t="s">
        <v>360</v>
      </c>
    </row>
    <row r="746" spans="1:11">
      <c r="A746" t="s">
        <v>1663</v>
      </c>
      <c r="B746" s="5">
        <v>46212</v>
      </c>
      <c r="C746" t="s">
        <v>1662</v>
      </c>
      <c r="D746" t="s">
        <v>67</v>
      </c>
      <c r="E746" t="s">
        <v>29</v>
      </c>
      <c r="F746" t="s">
        <v>179</v>
      </c>
      <c r="G746" t="s">
        <v>748</v>
      </c>
      <c r="H746" t="s">
        <v>749</v>
      </c>
      <c r="I746" s="6">
        <v>6.5</v>
      </c>
      <c r="J746" t="s">
        <v>71</v>
      </c>
      <c r="K746" t="s">
        <v>1664</v>
      </c>
    </row>
    <row r="747" spans="1:11">
      <c r="A747" t="s">
        <v>1665</v>
      </c>
      <c r="B747" s="5">
        <v>46213</v>
      </c>
      <c r="C747" t="s">
        <v>1662</v>
      </c>
      <c r="D747" t="s">
        <v>67</v>
      </c>
      <c r="E747" t="s">
        <v>29</v>
      </c>
      <c r="F747" t="s">
        <v>179</v>
      </c>
      <c r="G747" t="s">
        <v>752</v>
      </c>
      <c r="H747" t="s">
        <v>753</v>
      </c>
      <c r="I747" s="6">
        <v>6.75</v>
      </c>
      <c r="J747" t="s">
        <v>71</v>
      </c>
      <c r="K747" t="s">
        <v>1666</v>
      </c>
    </row>
    <row r="748" spans="1:11">
      <c r="A748" t="s">
        <v>1667</v>
      </c>
      <c r="B748" s="5">
        <v>46216</v>
      </c>
      <c r="C748" t="s">
        <v>1662</v>
      </c>
      <c r="D748" t="s">
        <v>67</v>
      </c>
      <c r="E748" t="s">
        <v>28</v>
      </c>
      <c r="F748" t="s">
        <v>179</v>
      </c>
      <c r="G748" t="s">
        <v>211</v>
      </c>
      <c r="H748" t="s">
        <v>212</v>
      </c>
      <c r="I748" s="6">
        <v>6.5</v>
      </c>
      <c r="J748" t="s">
        <v>71</v>
      </c>
      <c r="K748" t="s">
        <v>1668</v>
      </c>
    </row>
    <row r="749" spans="1:11">
      <c r="A749" t="s">
        <v>1669</v>
      </c>
      <c r="B749" s="5">
        <v>46217</v>
      </c>
      <c r="C749" t="s">
        <v>1662</v>
      </c>
      <c r="D749" t="s">
        <v>67</v>
      </c>
      <c r="E749" t="s">
        <v>17</v>
      </c>
      <c r="F749" t="s">
        <v>179</v>
      </c>
      <c r="G749" t="s">
        <v>757</v>
      </c>
      <c r="H749" t="s">
        <v>758</v>
      </c>
      <c r="I749" s="6">
        <v>9.5</v>
      </c>
      <c r="J749" t="s">
        <v>71</v>
      </c>
      <c r="K749" t="s">
        <v>1670</v>
      </c>
    </row>
    <row r="750" spans="1:11">
      <c r="A750" t="s">
        <v>1671</v>
      </c>
      <c r="B750" s="5">
        <v>46218</v>
      </c>
      <c r="C750" t="s">
        <v>1662</v>
      </c>
      <c r="D750" t="s">
        <v>67</v>
      </c>
      <c r="E750" t="s">
        <v>28</v>
      </c>
      <c r="F750" t="s">
        <v>179</v>
      </c>
      <c r="G750" t="s">
        <v>219</v>
      </c>
      <c r="H750" t="s">
        <v>220</v>
      </c>
      <c r="I750" s="6">
        <v>8.5</v>
      </c>
      <c r="J750" t="s">
        <v>71</v>
      </c>
      <c r="K750" t="s">
        <v>1672</v>
      </c>
    </row>
    <row r="751" spans="1:11">
      <c r="A751" t="s">
        <v>1673</v>
      </c>
      <c r="B751" s="5">
        <v>46219</v>
      </c>
      <c r="C751" t="s">
        <v>1662</v>
      </c>
      <c r="D751" t="s">
        <v>67</v>
      </c>
      <c r="E751" t="s">
        <v>29</v>
      </c>
      <c r="F751" t="s">
        <v>179</v>
      </c>
      <c r="G751" t="s">
        <v>1652</v>
      </c>
      <c r="H751" t="s">
        <v>753</v>
      </c>
      <c r="I751" s="6">
        <v>4.5</v>
      </c>
      <c r="J751" t="s">
        <v>71</v>
      </c>
      <c r="K751" t="s">
        <v>1674</v>
      </c>
    </row>
    <row r="752" spans="1:11">
      <c r="A752" t="s">
        <v>1675</v>
      </c>
      <c r="B752" s="5">
        <v>46204</v>
      </c>
      <c r="C752" t="s">
        <v>1676</v>
      </c>
      <c r="D752" t="s">
        <v>67</v>
      </c>
      <c r="E752" t="s">
        <v>40</v>
      </c>
      <c r="F752" t="s">
        <v>68</v>
      </c>
      <c r="G752" t="s">
        <v>1677</v>
      </c>
      <c r="H752" t="s">
        <v>1678</v>
      </c>
      <c r="I752" s="6">
        <v>8</v>
      </c>
      <c r="J752" t="s">
        <v>95</v>
      </c>
      <c r="K752" t="s">
        <v>1679</v>
      </c>
    </row>
    <row r="753" spans="1:11">
      <c r="A753" t="s">
        <v>1680</v>
      </c>
      <c r="B753" s="5">
        <v>46209</v>
      </c>
      <c r="C753" t="s">
        <v>1676</v>
      </c>
      <c r="D753" t="s">
        <v>67</v>
      </c>
      <c r="E753" t="s">
        <v>40</v>
      </c>
      <c r="F753" t="s">
        <v>68</v>
      </c>
      <c r="G753" t="s">
        <v>657</v>
      </c>
      <c r="H753" t="s">
        <v>658</v>
      </c>
      <c r="I753" s="6">
        <v>8</v>
      </c>
      <c r="J753" t="s">
        <v>71</v>
      </c>
      <c r="K753" t="s">
        <v>1681</v>
      </c>
    </row>
    <row r="754" spans="1:11">
      <c r="A754" t="s">
        <v>1682</v>
      </c>
      <c r="B754" s="5">
        <v>46210</v>
      </c>
      <c r="C754" t="s">
        <v>1676</v>
      </c>
      <c r="D754" t="s">
        <v>67</v>
      </c>
      <c r="E754" t="s">
        <v>40</v>
      </c>
      <c r="F754" t="s">
        <v>68</v>
      </c>
      <c r="G754" t="s">
        <v>292</v>
      </c>
      <c r="H754" t="s">
        <v>293</v>
      </c>
      <c r="I754" s="6">
        <v>8.5</v>
      </c>
      <c r="J754" t="s">
        <v>71</v>
      </c>
      <c r="K754" t="s">
        <v>294</v>
      </c>
    </row>
    <row r="755" spans="1:11">
      <c r="A755" t="s">
        <v>1683</v>
      </c>
      <c r="B755" s="5">
        <v>46211</v>
      </c>
      <c r="C755" t="s">
        <v>1676</v>
      </c>
      <c r="D755" t="s">
        <v>67</v>
      </c>
      <c r="E755" t="s">
        <v>40</v>
      </c>
      <c r="F755" t="s">
        <v>68</v>
      </c>
      <c r="G755" t="s">
        <v>83</v>
      </c>
      <c r="H755" t="s">
        <v>84</v>
      </c>
      <c r="I755" s="6">
        <v>8</v>
      </c>
      <c r="J755" t="s">
        <v>71</v>
      </c>
      <c r="K755" t="s">
        <v>1338</v>
      </c>
    </row>
    <row r="756" spans="1:11">
      <c r="A756" t="s">
        <v>1684</v>
      </c>
      <c r="B756" s="5">
        <v>46216</v>
      </c>
      <c r="C756" t="s">
        <v>1676</v>
      </c>
      <c r="D756" t="s">
        <v>67</v>
      </c>
      <c r="E756" t="s">
        <v>40</v>
      </c>
      <c r="F756" t="s">
        <v>68</v>
      </c>
      <c r="G756" t="s">
        <v>1685</v>
      </c>
      <c r="H756" t="s">
        <v>1686</v>
      </c>
      <c r="I756" s="6">
        <v>8.5</v>
      </c>
      <c r="J756" t="s">
        <v>71</v>
      </c>
      <c r="K756" t="s">
        <v>1687</v>
      </c>
    </row>
    <row r="757" spans="1:11">
      <c r="A757" t="s">
        <v>1688</v>
      </c>
      <c r="B757" s="5">
        <v>46217</v>
      </c>
      <c r="C757" t="s">
        <v>1676</v>
      </c>
      <c r="D757" t="s">
        <v>67</v>
      </c>
      <c r="E757" t="s">
        <v>40</v>
      </c>
      <c r="F757" t="s">
        <v>68</v>
      </c>
      <c r="G757" t="s">
        <v>1142</v>
      </c>
      <c r="H757" t="s">
        <v>302</v>
      </c>
      <c r="I757" s="6">
        <v>6.5</v>
      </c>
      <c r="J757" t="s">
        <v>71</v>
      </c>
      <c r="K757" t="s">
        <v>1143</v>
      </c>
    </row>
    <row r="758" spans="1:11">
      <c r="A758" t="s">
        <v>1689</v>
      </c>
      <c r="B758" s="5">
        <v>46218</v>
      </c>
      <c r="C758" t="s">
        <v>1676</v>
      </c>
      <c r="D758" t="s">
        <v>67</v>
      </c>
      <c r="E758" t="s">
        <v>40</v>
      </c>
      <c r="F758" t="s">
        <v>68</v>
      </c>
      <c r="G758" t="s">
        <v>292</v>
      </c>
      <c r="H758" t="s">
        <v>293</v>
      </c>
      <c r="I758" s="6">
        <v>8.5</v>
      </c>
      <c r="J758" t="s">
        <v>71</v>
      </c>
      <c r="K758" t="s">
        <v>294</v>
      </c>
    </row>
    <row r="759" spans="1:11">
      <c r="A759" t="s">
        <v>1690</v>
      </c>
      <c r="B759" s="5">
        <v>46204</v>
      </c>
      <c r="C759" t="s">
        <v>1691</v>
      </c>
      <c r="D759" t="s">
        <v>67</v>
      </c>
      <c r="E759" t="s">
        <v>40</v>
      </c>
      <c r="F759" t="s">
        <v>68</v>
      </c>
      <c r="G759" t="s">
        <v>69</v>
      </c>
      <c r="H759" t="s">
        <v>70</v>
      </c>
      <c r="I759" s="6">
        <v>7.5</v>
      </c>
      <c r="J759" t="s">
        <v>71</v>
      </c>
      <c r="K759" t="s">
        <v>72</v>
      </c>
    </row>
    <row r="760" spans="1:11">
      <c r="A760" t="s">
        <v>1692</v>
      </c>
      <c r="B760" s="5">
        <v>46205</v>
      </c>
      <c r="C760" t="s">
        <v>1691</v>
      </c>
      <c r="D760" t="s">
        <v>67</v>
      </c>
      <c r="E760" t="s">
        <v>40</v>
      </c>
      <c r="F760" t="s">
        <v>68</v>
      </c>
      <c r="G760" t="s">
        <v>582</v>
      </c>
      <c r="H760" t="s">
        <v>583</v>
      </c>
      <c r="I760" s="6">
        <v>8</v>
      </c>
      <c r="J760" t="s">
        <v>71</v>
      </c>
      <c r="K760" t="s">
        <v>1317</v>
      </c>
    </row>
    <row r="761" spans="1:11">
      <c r="A761" t="s">
        <v>1693</v>
      </c>
      <c r="B761" s="5">
        <v>46209</v>
      </c>
      <c r="C761" t="s">
        <v>1691</v>
      </c>
      <c r="D761" t="s">
        <v>67</v>
      </c>
      <c r="E761" t="s">
        <v>40</v>
      </c>
      <c r="F761" t="s">
        <v>68</v>
      </c>
      <c r="G761" t="s">
        <v>124</v>
      </c>
      <c r="H761" t="s">
        <v>125</v>
      </c>
      <c r="I761" s="6">
        <v>9</v>
      </c>
      <c r="J761" t="s">
        <v>71</v>
      </c>
      <c r="K761" t="s">
        <v>1694</v>
      </c>
    </row>
    <row r="762" spans="1:11">
      <c r="A762" t="s">
        <v>1695</v>
      </c>
      <c r="B762" s="5">
        <v>46210</v>
      </c>
      <c r="C762" t="s">
        <v>1691</v>
      </c>
      <c r="D762" t="s">
        <v>67</v>
      </c>
      <c r="E762" t="s">
        <v>40</v>
      </c>
      <c r="F762" t="s">
        <v>68</v>
      </c>
      <c r="G762" t="s">
        <v>124</v>
      </c>
      <c r="H762" t="s">
        <v>125</v>
      </c>
      <c r="I762" s="6">
        <v>8</v>
      </c>
      <c r="J762" t="s">
        <v>71</v>
      </c>
      <c r="K762" t="s">
        <v>1506</v>
      </c>
    </row>
    <row r="763" spans="1:11">
      <c r="A763" t="s">
        <v>1696</v>
      </c>
      <c r="B763" s="5">
        <v>46211</v>
      </c>
      <c r="C763" t="s">
        <v>1691</v>
      </c>
      <c r="D763" t="s">
        <v>67</v>
      </c>
      <c r="E763" t="s">
        <v>40</v>
      </c>
      <c r="F763" t="s">
        <v>68</v>
      </c>
      <c r="G763" t="s">
        <v>74</v>
      </c>
      <c r="H763" t="s">
        <v>75</v>
      </c>
      <c r="I763" s="6">
        <v>10</v>
      </c>
      <c r="J763" t="s">
        <v>71</v>
      </c>
      <c r="K763" t="s">
        <v>878</v>
      </c>
    </row>
    <row r="764" spans="1:11">
      <c r="A764" t="s">
        <v>1697</v>
      </c>
      <c r="B764" s="5">
        <v>46218</v>
      </c>
      <c r="C764" t="s">
        <v>1691</v>
      </c>
      <c r="D764" t="s">
        <v>67</v>
      </c>
      <c r="E764" t="s">
        <v>40</v>
      </c>
      <c r="F764" t="s">
        <v>68</v>
      </c>
      <c r="G764" t="s">
        <v>102</v>
      </c>
      <c r="H764" t="s">
        <v>103</v>
      </c>
      <c r="I764" s="6">
        <v>8</v>
      </c>
      <c r="J764" t="s">
        <v>71</v>
      </c>
      <c r="K764" t="s">
        <v>108</v>
      </c>
    </row>
    <row r="765" spans="1:11">
      <c r="A765" t="s">
        <v>1698</v>
      </c>
      <c r="B765" s="5">
        <v>46204</v>
      </c>
      <c r="C765" t="s">
        <v>1699</v>
      </c>
      <c r="D765" t="s">
        <v>67</v>
      </c>
      <c r="E765" t="s">
        <v>40</v>
      </c>
      <c r="F765" t="s">
        <v>68</v>
      </c>
      <c r="G765" t="s">
        <v>521</v>
      </c>
      <c r="H765" t="s">
        <v>522</v>
      </c>
      <c r="I765" s="6">
        <v>9</v>
      </c>
      <c r="J765" t="s">
        <v>71</v>
      </c>
      <c r="K765" t="s">
        <v>523</v>
      </c>
    </row>
    <row r="766" spans="1:11">
      <c r="A766" t="s">
        <v>1700</v>
      </c>
      <c r="B766" s="5">
        <v>46206</v>
      </c>
      <c r="C766" t="s">
        <v>1699</v>
      </c>
      <c r="D766" t="s">
        <v>67</v>
      </c>
      <c r="E766" t="s">
        <v>40</v>
      </c>
      <c r="F766" t="s">
        <v>82</v>
      </c>
      <c r="G766" t="s">
        <v>74</v>
      </c>
      <c r="H766" t="s">
        <v>75</v>
      </c>
      <c r="I766" s="6">
        <v>17</v>
      </c>
      <c r="J766" t="s">
        <v>71</v>
      </c>
      <c r="K766" t="s">
        <v>1119</v>
      </c>
    </row>
    <row r="767" spans="1:11">
      <c r="A767" t="s">
        <v>1701</v>
      </c>
      <c r="B767" s="5">
        <v>46207</v>
      </c>
      <c r="C767" t="s">
        <v>1699</v>
      </c>
      <c r="D767" t="s">
        <v>67</v>
      </c>
      <c r="E767" t="s">
        <v>40</v>
      </c>
      <c r="F767" t="s">
        <v>82</v>
      </c>
      <c r="G767" t="s">
        <v>74</v>
      </c>
      <c r="H767" t="s">
        <v>75</v>
      </c>
      <c r="I767" s="6">
        <v>9</v>
      </c>
      <c r="J767" t="s">
        <v>71</v>
      </c>
      <c r="K767" t="s">
        <v>727</v>
      </c>
    </row>
    <row r="768" spans="1:11">
      <c r="A768" t="s">
        <v>1702</v>
      </c>
      <c r="B768" s="5">
        <v>46208</v>
      </c>
      <c r="C768" t="s">
        <v>1699</v>
      </c>
      <c r="D768" t="s">
        <v>67</v>
      </c>
      <c r="E768" t="s">
        <v>40</v>
      </c>
      <c r="F768" t="s">
        <v>82</v>
      </c>
      <c r="G768" t="s">
        <v>74</v>
      </c>
      <c r="H768" t="s">
        <v>75</v>
      </c>
      <c r="I768" s="6">
        <v>17</v>
      </c>
      <c r="J768" t="s">
        <v>71</v>
      </c>
      <c r="K768" t="s">
        <v>1119</v>
      </c>
    </row>
    <row r="769" spans="1:11">
      <c r="A769" t="s">
        <v>1703</v>
      </c>
      <c r="B769" s="5">
        <v>46209</v>
      </c>
      <c r="C769" t="s">
        <v>1699</v>
      </c>
      <c r="D769" t="s">
        <v>67</v>
      </c>
      <c r="E769" t="s">
        <v>40</v>
      </c>
      <c r="F769" t="s">
        <v>82</v>
      </c>
      <c r="G769" t="s">
        <v>74</v>
      </c>
      <c r="H769" t="s">
        <v>75</v>
      </c>
      <c r="I769" s="6">
        <v>11.5</v>
      </c>
      <c r="J769" t="s">
        <v>71</v>
      </c>
      <c r="K769" t="s">
        <v>874</v>
      </c>
    </row>
    <row r="770" spans="1:11">
      <c r="A770" t="s">
        <v>1704</v>
      </c>
      <c r="B770" s="5">
        <v>46210</v>
      </c>
      <c r="C770" t="s">
        <v>1699</v>
      </c>
      <c r="D770" t="s">
        <v>67</v>
      </c>
      <c r="E770" t="s">
        <v>40</v>
      </c>
      <c r="F770" t="s">
        <v>82</v>
      </c>
      <c r="G770" t="s">
        <v>1705</v>
      </c>
      <c r="H770" t="s">
        <v>1706</v>
      </c>
      <c r="I770" s="6">
        <v>8.5</v>
      </c>
      <c r="J770" t="s">
        <v>71</v>
      </c>
      <c r="K770" t="s">
        <v>1707</v>
      </c>
    </row>
    <row r="771" spans="1:11">
      <c r="A771" t="s">
        <v>1708</v>
      </c>
      <c r="B771" s="5">
        <v>46211</v>
      </c>
      <c r="C771" t="s">
        <v>1699</v>
      </c>
      <c r="D771" t="s">
        <v>67</v>
      </c>
      <c r="E771" t="s">
        <v>40</v>
      </c>
      <c r="F771" t="s">
        <v>82</v>
      </c>
      <c r="G771" t="s">
        <v>89</v>
      </c>
      <c r="H771" t="s">
        <v>90</v>
      </c>
      <c r="I771" s="6">
        <v>9.5</v>
      </c>
      <c r="J771" t="s">
        <v>71</v>
      </c>
      <c r="K771" t="s">
        <v>661</v>
      </c>
    </row>
    <row r="772" spans="1:11">
      <c r="A772" t="s">
        <v>1709</v>
      </c>
      <c r="B772" s="5">
        <v>46212</v>
      </c>
      <c r="C772" t="s">
        <v>1699</v>
      </c>
      <c r="D772" t="s">
        <v>67</v>
      </c>
      <c r="E772" t="s">
        <v>40</v>
      </c>
      <c r="F772" t="s">
        <v>82</v>
      </c>
      <c r="G772" t="s">
        <v>89</v>
      </c>
      <c r="H772" t="s">
        <v>90</v>
      </c>
      <c r="I772" s="6">
        <v>8.5</v>
      </c>
      <c r="J772" t="s">
        <v>71</v>
      </c>
      <c r="K772" t="s">
        <v>91</v>
      </c>
    </row>
    <row r="773" spans="1:11">
      <c r="A773" t="s">
        <v>1710</v>
      </c>
      <c r="B773" s="5">
        <v>46213</v>
      </c>
      <c r="C773" t="s">
        <v>1699</v>
      </c>
      <c r="D773" t="s">
        <v>67</v>
      </c>
      <c r="E773" t="s">
        <v>40</v>
      </c>
      <c r="F773" t="s">
        <v>504</v>
      </c>
      <c r="G773" t="s">
        <v>1711</v>
      </c>
      <c r="H773" t="s">
        <v>1712</v>
      </c>
      <c r="I773" s="6">
        <v>14.5</v>
      </c>
      <c r="J773" t="s">
        <v>95</v>
      </c>
      <c r="K773" t="s">
        <v>1713</v>
      </c>
    </row>
    <row r="774" spans="1:11">
      <c r="A774" t="s">
        <v>1714</v>
      </c>
      <c r="B774" s="5">
        <v>46216</v>
      </c>
      <c r="C774" t="s">
        <v>1699</v>
      </c>
      <c r="D774" t="s">
        <v>67</v>
      </c>
      <c r="E774" t="s">
        <v>40</v>
      </c>
      <c r="F774" t="s">
        <v>82</v>
      </c>
      <c r="G774" t="s">
        <v>171</v>
      </c>
      <c r="H774" t="s">
        <v>172</v>
      </c>
      <c r="I774" s="6">
        <v>12</v>
      </c>
      <c r="J774" t="s">
        <v>71</v>
      </c>
      <c r="K774" t="s">
        <v>669</v>
      </c>
    </row>
    <row r="775" spans="1:11">
      <c r="A775" t="s">
        <v>1715</v>
      </c>
      <c r="B775" s="5">
        <v>46217</v>
      </c>
      <c r="C775" t="s">
        <v>1699</v>
      </c>
      <c r="D775" t="s">
        <v>67</v>
      </c>
      <c r="E775" t="s">
        <v>40</v>
      </c>
      <c r="F775" t="s">
        <v>68</v>
      </c>
      <c r="G775" t="s">
        <v>102</v>
      </c>
      <c r="H775" t="s">
        <v>103</v>
      </c>
      <c r="I775" s="6">
        <v>8</v>
      </c>
      <c r="J775" t="s">
        <v>71</v>
      </c>
      <c r="K775" t="s">
        <v>108</v>
      </c>
    </row>
    <row r="776" spans="1:11">
      <c r="A776" t="s">
        <v>1716</v>
      </c>
      <c r="B776" s="5">
        <v>46218</v>
      </c>
      <c r="C776" t="s">
        <v>1699</v>
      </c>
      <c r="D776" t="s">
        <v>67</v>
      </c>
      <c r="E776" t="s">
        <v>40</v>
      </c>
      <c r="F776" t="s">
        <v>68</v>
      </c>
      <c r="G776" t="s">
        <v>102</v>
      </c>
      <c r="H776" t="s">
        <v>103</v>
      </c>
      <c r="I776" s="6">
        <v>9.5</v>
      </c>
      <c r="J776" t="s">
        <v>71</v>
      </c>
      <c r="K776" t="s">
        <v>176</v>
      </c>
    </row>
    <row r="777" spans="1:11">
      <c r="A777" t="s">
        <v>1717</v>
      </c>
      <c r="B777" s="5">
        <v>46204</v>
      </c>
      <c r="C777" t="s">
        <v>1718</v>
      </c>
      <c r="D777" t="s">
        <v>67</v>
      </c>
      <c r="E777" t="s">
        <v>26</v>
      </c>
      <c r="F777" t="s">
        <v>82</v>
      </c>
      <c r="G777" t="s">
        <v>1719</v>
      </c>
      <c r="H777" t="s">
        <v>1720</v>
      </c>
      <c r="I777" s="6">
        <v>8</v>
      </c>
      <c r="J777" t="s">
        <v>71</v>
      </c>
      <c r="K777" t="s">
        <v>1721</v>
      </c>
    </row>
    <row r="778" spans="1:11">
      <c r="A778" t="s">
        <v>1722</v>
      </c>
      <c r="B778" s="5">
        <v>46205</v>
      </c>
      <c r="C778" t="s">
        <v>1718</v>
      </c>
      <c r="D778" t="s">
        <v>67</v>
      </c>
      <c r="E778" t="s">
        <v>26</v>
      </c>
      <c r="F778" t="s">
        <v>68</v>
      </c>
      <c r="G778" t="s">
        <v>1723</v>
      </c>
      <c r="H778" t="s">
        <v>1724</v>
      </c>
      <c r="I778" s="6">
        <v>8</v>
      </c>
      <c r="J778" t="s">
        <v>71</v>
      </c>
      <c r="K778" t="s">
        <v>1725</v>
      </c>
    </row>
    <row r="779" spans="1:11">
      <c r="A779" t="s">
        <v>1726</v>
      </c>
      <c r="B779" s="5">
        <v>46206</v>
      </c>
      <c r="C779" t="s">
        <v>1718</v>
      </c>
      <c r="D779" t="s">
        <v>67</v>
      </c>
      <c r="E779" t="s">
        <v>26</v>
      </c>
      <c r="F779" t="s">
        <v>68</v>
      </c>
      <c r="G779" t="s">
        <v>1727</v>
      </c>
      <c r="H779" t="s">
        <v>1724</v>
      </c>
      <c r="I779" s="6">
        <v>5</v>
      </c>
      <c r="J779" t="s">
        <v>71</v>
      </c>
      <c r="K779" t="s">
        <v>1728</v>
      </c>
    </row>
    <row r="780" spans="1:11">
      <c r="A780" t="s">
        <v>1729</v>
      </c>
      <c r="B780" s="5">
        <v>46210</v>
      </c>
      <c r="C780" t="s">
        <v>1718</v>
      </c>
      <c r="D780" t="s">
        <v>67</v>
      </c>
      <c r="E780" t="s">
        <v>26</v>
      </c>
      <c r="F780" t="s">
        <v>68</v>
      </c>
      <c r="G780" t="s">
        <v>763</v>
      </c>
      <c r="H780" t="s">
        <v>764</v>
      </c>
      <c r="I780" s="6">
        <v>8</v>
      </c>
      <c r="J780" t="s">
        <v>71</v>
      </c>
      <c r="K780" t="s">
        <v>1183</v>
      </c>
    </row>
    <row r="781" spans="1:11">
      <c r="A781" t="s">
        <v>1730</v>
      </c>
      <c r="B781" s="5">
        <v>46211</v>
      </c>
      <c r="C781" t="s">
        <v>1718</v>
      </c>
      <c r="D781" t="s">
        <v>67</v>
      </c>
      <c r="E781" t="s">
        <v>26</v>
      </c>
      <c r="F781" t="s">
        <v>68</v>
      </c>
      <c r="G781" t="s">
        <v>763</v>
      </c>
      <c r="H781" t="s">
        <v>764</v>
      </c>
      <c r="I781" s="6">
        <v>9</v>
      </c>
      <c r="J781" t="s">
        <v>71</v>
      </c>
      <c r="K781" t="s">
        <v>1181</v>
      </c>
    </row>
    <row r="782" spans="1:11">
      <c r="A782" t="s">
        <v>1731</v>
      </c>
      <c r="B782" s="5">
        <v>46212</v>
      </c>
      <c r="C782" t="s">
        <v>1718</v>
      </c>
      <c r="D782" t="s">
        <v>67</v>
      </c>
      <c r="E782" t="s">
        <v>26</v>
      </c>
      <c r="F782" t="s">
        <v>68</v>
      </c>
      <c r="G782" t="s">
        <v>763</v>
      </c>
      <c r="H782" t="s">
        <v>764</v>
      </c>
      <c r="I782" s="6">
        <v>8</v>
      </c>
      <c r="J782" t="s">
        <v>71</v>
      </c>
      <c r="K782" t="s">
        <v>1183</v>
      </c>
    </row>
    <row r="783" spans="1:11">
      <c r="A783" t="s">
        <v>1732</v>
      </c>
      <c r="B783" s="5">
        <v>46213</v>
      </c>
      <c r="C783" t="s">
        <v>1718</v>
      </c>
      <c r="D783" t="s">
        <v>67</v>
      </c>
      <c r="E783" t="s">
        <v>26</v>
      </c>
      <c r="F783" t="s">
        <v>179</v>
      </c>
      <c r="G783" t="s">
        <v>1733</v>
      </c>
      <c r="H783" t="s">
        <v>1246</v>
      </c>
      <c r="I783" s="6">
        <v>8</v>
      </c>
      <c r="J783" t="s">
        <v>71</v>
      </c>
      <c r="K783" t="s">
        <v>1734</v>
      </c>
    </row>
    <row r="784" spans="1:11">
      <c r="A784" t="s">
        <v>1735</v>
      </c>
      <c r="B784" s="5">
        <v>46216</v>
      </c>
      <c r="C784" t="s">
        <v>1718</v>
      </c>
      <c r="I784" s="6">
        <v>0</v>
      </c>
      <c r="J784" t="s">
        <v>680</v>
      </c>
      <c r="K784" t="s">
        <v>992</v>
      </c>
    </row>
    <row r="785" spans="1:11">
      <c r="A785" t="s">
        <v>1736</v>
      </c>
      <c r="B785" s="5">
        <v>46217</v>
      </c>
      <c r="C785" t="s">
        <v>1718</v>
      </c>
      <c r="I785" s="6">
        <v>0</v>
      </c>
      <c r="J785" t="s">
        <v>680</v>
      </c>
      <c r="K785" t="s">
        <v>992</v>
      </c>
    </row>
    <row r="786" spans="1:11">
      <c r="A786" t="s">
        <v>1737</v>
      </c>
      <c r="B786" s="5">
        <v>46218</v>
      </c>
      <c r="C786" t="s">
        <v>1718</v>
      </c>
      <c r="D786" t="s">
        <v>67</v>
      </c>
      <c r="E786" t="s">
        <v>9</v>
      </c>
      <c r="F786" t="s">
        <v>82</v>
      </c>
      <c r="G786" t="s">
        <v>1738</v>
      </c>
      <c r="H786" t="s">
        <v>1739</v>
      </c>
      <c r="I786" s="6">
        <v>10</v>
      </c>
      <c r="J786" t="s">
        <v>71</v>
      </c>
      <c r="K786" t="s">
        <v>1740</v>
      </c>
    </row>
    <row r="787" spans="1:11">
      <c r="A787" t="s">
        <v>1741</v>
      </c>
      <c r="B787" s="5">
        <v>46209</v>
      </c>
      <c r="C787" t="s">
        <v>1742</v>
      </c>
      <c r="D787" t="s">
        <v>67</v>
      </c>
      <c r="E787" t="s">
        <v>30</v>
      </c>
      <c r="F787" t="s">
        <v>82</v>
      </c>
      <c r="G787" t="s">
        <v>1743</v>
      </c>
      <c r="H787" t="s">
        <v>1744</v>
      </c>
      <c r="I787" s="6">
        <v>7.3</v>
      </c>
      <c r="J787" t="s">
        <v>71</v>
      </c>
      <c r="K787" t="s">
        <v>1745</v>
      </c>
    </row>
    <row r="788" spans="1:11">
      <c r="A788" t="s">
        <v>1746</v>
      </c>
      <c r="B788" s="5">
        <v>46210</v>
      </c>
      <c r="C788" t="s">
        <v>1742</v>
      </c>
      <c r="D788" t="s">
        <v>67</v>
      </c>
      <c r="E788" t="s">
        <v>30</v>
      </c>
      <c r="F788" t="s">
        <v>179</v>
      </c>
      <c r="G788" t="s">
        <v>1155</v>
      </c>
      <c r="H788" t="s">
        <v>1156</v>
      </c>
      <c r="I788" s="6">
        <v>8.5</v>
      </c>
      <c r="J788" t="s">
        <v>71</v>
      </c>
      <c r="K788" t="s">
        <v>1747</v>
      </c>
    </row>
    <row r="789" spans="1:11">
      <c r="A789" t="s">
        <v>1748</v>
      </c>
      <c r="B789" s="5">
        <v>46212</v>
      </c>
      <c r="C789" t="s">
        <v>1742</v>
      </c>
      <c r="D789" t="s">
        <v>67</v>
      </c>
      <c r="E789" t="s">
        <v>30</v>
      </c>
      <c r="F789" t="s">
        <v>82</v>
      </c>
      <c r="G789" t="s">
        <v>1159</v>
      </c>
      <c r="H789" t="s">
        <v>1160</v>
      </c>
      <c r="I789" s="6">
        <v>9.4499999999999993</v>
      </c>
      <c r="J789" t="s">
        <v>71</v>
      </c>
      <c r="K789" t="s">
        <v>1161</v>
      </c>
    </row>
    <row r="790" spans="1:11">
      <c r="A790" t="s">
        <v>1749</v>
      </c>
      <c r="B790" s="5">
        <v>46213</v>
      </c>
      <c r="C790" t="s">
        <v>1742</v>
      </c>
      <c r="D790" t="s">
        <v>67</v>
      </c>
      <c r="E790" t="s">
        <v>30</v>
      </c>
      <c r="F790" t="s">
        <v>82</v>
      </c>
      <c r="G790" t="s">
        <v>1398</v>
      </c>
      <c r="H790" t="s">
        <v>1399</v>
      </c>
      <c r="I790" s="6">
        <v>6.3</v>
      </c>
      <c r="J790" t="s">
        <v>71</v>
      </c>
      <c r="K790" t="s">
        <v>1750</v>
      </c>
    </row>
    <row r="791" spans="1:11">
      <c r="A791" t="s">
        <v>1751</v>
      </c>
      <c r="B791" s="5">
        <v>46216</v>
      </c>
      <c r="C791" t="s">
        <v>1742</v>
      </c>
      <c r="D791" t="s">
        <v>67</v>
      </c>
      <c r="E791" t="s">
        <v>30</v>
      </c>
      <c r="F791" t="s">
        <v>179</v>
      </c>
      <c r="G791" t="s">
        <v>1752</v>
      </c>
      <c r="H791" t="s">
        <v>1753</v>
      </c>
      <c r="I791" s="6">
        <v>7</v>
      </c>
      <c r="J791" t="s">
        <v>71</v>
      </c>
      <c r="K791" t="s">
        <v>1754</v>
      </c>
    </row>
    <row r="792" spans="1:11">
      <c r="A792" t="s">
        <v>1755</v>
      </c>
      <c r="B792" s="5">
        <v>46217</v>
      </c>
      <c r="C792" t="s">
        <v>1742</v>
      </c>
      <c r="D792" t="s">
        <v>67</v>
      </c>
      <c r="E792" t="s">
        <v>30</v>
      </c>
      <c r="F792" t="s">
        <v>68</v>
      </c>
      <c r="G792" t="s">
        <v>1167</v>
      </c>
      <c r="H792" t="s">
        <v>1168</v>
      </c>
      <c r="I792" s="6">
        <v>8.5</v>
      </c>
      <c r="J792" t="s">
        <v>71</v>
      </c>
      <c r="K792" t="s">
        <v>1169</v>
      </c>
    </row>
    <row r="793" spans="1:11">
      <c r="A793" t="s">
        <v>1756</v>
      </c>
      <c r="B793" s="5">
        <v>46218</v>
      </c>
      <c r="C793" t="s">
        <v>1742</v>
      </c>
      <c r="D793" t="s">
        <v>67</v>
      </c>
      <c r="E793" t="s">
        <v>30</v>
      </c>
      <c r="F793" t="s">
        <v>1757</v>
      </c>
      <c r="G793" t="s">
        <v>1407</v>
      </c>
      <c r="H793" t="s">
        <v>1408</v>
      </c>
      <c r="I793" s="6">
        <v>6.3</v>
      </c>
      <c r="J793" t="s">
        <v>95</v>
      </c>
      <c r="K793" t="s">
        <v>1758</v>
      </c>
    </row>
    <row r="794" spans="1:11">
      <c r="A794" t="s">
        <v>1759</v>
      </c>
      <c r="B794" s="5">
        <v>46204</v>
      </c>
      <c r="C794" t="s">
        <v>1760</v>
      </c>
      <c r="I794" s="6">
        <v>0</v>
      </c>
      <c r="J794" t="s">
        <v>680</v>
      </c>
      <c r="K794" t="s">
        <v>992</v>
      </c>
    </row>
    <row r="795" spans="1:11">
      <c r="A795" t="s">
        <v>1761</v>
      </c>
      <c r="B795" s="5">
        <v>46208</v>
      </c>
      <c r="C795" t="s">
        <v>1760</v>
      </c>
      <c r="D795" t="s">
        <v>67</v>
      </c>
      <c r="E795" t="s">
        <v>40</v>
      </c>
      <c r="F795" t="s">
        <v>68</v>
      </c>
      <c r="G795" t="s">
        <v>74</v>
      </c>
      <c r="H795" t="s">
        <v>75</v>
      </c>
      <c r="I795" s="6">
        <v>17</v>
      </c>
      <c r="J795" t="s">
        <v>71</v>
      </c>
      <c r="K795" t="s">
        <v>78</v>
      </c>
    </row>
    <row r="796" spans="1:11">
      <c r="A796" t="s">
        <v>1762</v>
      </c>
      <c r="B796" s="5">
        <v>46209</v>
      </c>
      <c r="C796" t="s">
        <v>1760</v>
      </c>
      <c r="D796" t="s">
        <v>67</v>
      </c>
      <c r="E796" t="s">
        <v>40</v>
      </c>
      <c r="F796" t="s">
        <v>82</v>
      </c>
      <c r="G796" t="s">
        <v>224</v>
      </c>
      <c r="H796" t="s">
        <v>99</v>
      </c>
      <c r="I796" s="6">
        <v>8.5</v>
      </c>
      <c r="J796" t="s">
        <v>71</v>
      </c>
      <c r="K796" t="s">
        <v>225</v>
      </c>
    </row>
    <row r="797" spans="1:11">
      <c r="A797" t="s">
        <v>1763</v>
      </c>
      <c r="B797" s="5">
        <v>46210</v>
      </c>
      <c r="C797" t="s">
        <v>1760</v>
      </c>
      <c r="D797" t="s">
        <v>67</v>
      </c>
      <c r="E797" t="s">
        <v>40</v>
      </c>
      <c r="F797" t="s">
        <v>82</v>
      </c>
      <c r="G797" t="s">
        <v>1705</v>
      </c>
      <c r="H797" t="s">
        <v>1706</v>
      </c>
      <c r="I797" s="6">
        <v>8.5</v>
      </c>
      <c r="J797" t="s">
        <v>71</v>
      </c>
      <c r="K797" t="s">
        <v>1707</v>
      </c>
    </row>
    <row r="798" spans="1:11">
      <c r="A798" t="s">
        <v>1764</v>
      </c>
      <c r="B798" s="5">
        <v>46211</v>
      </c>
      <c r="C798" t="s">
        <v>1760</v>
      </c>
      <c r="D798" t="s">
        <v>67</v>
      </c>
      <c r="E798" t="s">
        <v>40</v>
      </c>
      <c r="F798" t="s">
        <v>82</v>
      </c>
      <c r="G798" t="s">
        <v>224</v>
      </c>
      <c r="H798" t="s">
        <v>99</v>
      </c>
      <c r="I798" s="6">
        <v>8.5</v>
      </c>
      <c r="J798" t="s">
        <v>71</v>
      </c>
      <c r="K798" t="s">
        <v>225</v>
      </c>
    </row>
    <row r="799" spans="1:11">
      <c r="A799" t="s">
        <v>1765</v>
      </c>
      <c r="B799" s="5">
        <v>46212</v>
      </c>
      <c r="C799" t="s">
        <v>1760</v>
      </c>
      <c r="D799" t="s">
        <v>67</v>
      </c>
      <c r="E799" t="s">
        <v>40</v>
      </c>
      <c r="F799" t="s">
        <v>82</v>
      </c>
      <c r="G799" t="s">
        <v>224</v>
      </c>
      <c r="H799" t="s">
        <v>99</v>
      </c>
      <c r="I799" s="6">
        <v>8.5</v>
      </c>
      <c r="J799" t="s">
        <v>71</v>
      </c>
      <c r="K799" t="s">
        <v>225</v>
      </c>
    </row>
    <row r="800" spans="1:11">
      <c r="A800" t="s">
        <v>1766</v>
      </c>
      <c r="B800" s="5">
        <v>46213</v>
      </c>
      <c r="C800" t="s">
        <v>1760</v>
      </c>
      <c r="D800" t="s">
        <v>67</v>
      </c>
      <c r="E800" t="s">
        <v>40</v>
      </c>
      <c r="F800" t="s">
        <v>504</v>
      </c>
      <c r="G800" t="s">
        <v>1767</v>
      </c>
      <c r="H800" t="s">
        <v>99</v>
      </c>
      <c r="I800" s="6">
        <v>15</v>
      </c>
      <c r="J800" t="s">
        <v>95</v>
      </c>
      <c r="K800" t="s">
        <v>1768</v>
      </c>
    </row>
    <row r="801" spans="1:11">
      <c r="A801" t="s">
        <v>1769</v>
      </c>
      <c r="B801" s="5">
        <v>46214</v>
      </c>
      <c r="C801" t="s">
        <v>1760</v>
      </c>
      <c r="D801" t="s">
        <v>67</v>
      </c>
      <c r="E801" t="s">
        <v>40</v>
      </c>
      <c r="F801" t="s">
        <v>68</v>
      </c>
      <c r="G801" t="s">
        <v>98</v>
      </c>
      <c r="H801" t="s">
        <v>99</v>
      </c>
      <c r="I801" s="6">
        <v>8.5</v>
      </c>
      <c r="J801" t="s">
        <v>71</v>
      </c>
      <c r="K801" t="s">
        <v>100</v>
      </c>
    </row>
    <row r="802" spans="1:11">
      <c r="A802" t="s">
        <v>1770</v>
      </c>
      <c r="B802" s="5">
        <v>46216</v>
      </c>
      <c r="C802" t="s">
        <v>1760</v>
      </c>
      <c r="D802" t="s">
        <v>67</v>
      </c>
      <c r="E802" t="s">
        <v>40</v>
      </c>
      <c r="F802" t="s">
        <v>82</v>
      </c>
      <c r="G802" t="s">
        <v>224</v>
      </c>
      <c r="H802" t="s">
        <v>99</v>
      </c>
      <c r="I802" s="6">
        <v>8.5</v>
      </c>
      <c r="J802" t="s">
        <v>71</v>
      </c>
      <c r="K802" t="s">
        <v>225</v>
      </c>
    </row>
    <row r="803" spans="1:11">
      <c r="A803" t="s">
        <v>1771</v>
      </c>
      <c r="B803" s="5">
        <v>46217</v>
      </c>
      <c r="C803" t="s">
        <v>1760</v>
      </c>
      <c r="D803" t="s">
        <v>67</v>
      </c>
      <c r="E803" t="s">
        <v>40</v>
      </c>
      <c r="F803" t="s">
        <v>68</v>
      </c>
      <c r="G803" t="s">
        <v>1142</v>
      </c>
      <c r="H803" t="s">
        <v>302</v>
      </c>
      <c r="I803" s="6">
        <v>6.5</v>
      </c>
      <c r="J803" t="s">
        <v>71</v>
      </c>
      <c r="K803" t="s">
        <v>1143</v>
      </c>
    </row>
    <row r="804" spans="1:11">
      <c r="A804" t="s">
        <v>1772</v>
      </c>
      <c r="B804" s="5">
        <v>46218</v>
      </c>
      <c r="C804" t="s">
        <v>1760</v>
      </c>
      <c r="D804" t="s">
        <v>67</v>
      </c>
      <c r="E804" t="s">
        <v>40</v>
      </c>
      <c r="F804" t="s">
        <v>82</v>
      </c>
      <c r="G804" t="s">
        <v>224</v>
      </c>
      <c r="H804" t="s">
        <v>99</v>
      </c>
      <c r="I804" s="6">
        <v>8.5</v>
      </c>
      <c r="J804" t="s">
        <v>71</v>
      </c>
      <c r="K804" t="s">
        <v>225</v>
      </c>
    </row>
    <row r="805" spans="1:11">
      <c r="A805" t="s">
        <v>1773</v>
      </c>
      <c r="B805" s="5">
        <v>46204</v>
      </c>
      <c r="C805" t="s">
        <v>1774</v>
      </c>
      <c r="D805" t="s">
        <v>67</v>
      </c>
      <c r="E805" t="s">
        <v>40</v>
      </c>
      <c r="F805" t="s">
        <v>68</v>
      </c>
      <c r="G805" t="s">
        <v>292</v>
      </c>
      <c r="H805" t="s">
        <v>293</v>
      </c>
      <c r="I805" s="6">
        <v>8.5</v>
      </c>
      <c r="J805" t="s">
        <v>71</v>
      </c>
      <c r="K805" t="s">
        <v>294</v>
      </c>
    </row>
    <row r="806" spans="1:11">
      <c r="A806" t="s">
        <v>1775</v>
      </c>
      <c r="B806" s="5">
        <v>46205</v>
      </c>
      <c r="C806" t="s">
        <v>1774</v>
      </c>
      <c r="D806" t="s">
        <v>67</v>
      </c>
      <c r="E806" t="s">
        <v>40</v>
      </c>
      <c r="F806" t="s">
        <v>82</v>
      </c>
      <c r="G806" t="s">
        <v>582</v>
      </c>
      <c r="H806" t="s">
        <v>583</v>
      </c>
      <c r="I806" s="6">
        <v>8</v>
      </c>
      <c r="J806" t="s">
        <v>71</v>
      </c>
      <c r="K806" t="s">
        <v>584</v>
      </c>
    </row>
    <row r="807" spans="1:11">
      <c r="A807" t="s">
        <v>1776</v>
      </c>
      <c r="B807" s="5">
        <v>46209</v>
      </c>
      <c r="C807" t="s">
        <v>1774</v>
      </c>
      <c r="D807" t="s">
        <v>67</v>
      </c>
      <c r="E807" t="s">
        <v>40</v>
      </c>
      <c r="F807" t="s">
        <v>82</v>
      </c>
      <c r="G807" t="s">
        <v>657</v>
      </c>
      <c r="H807" t="s">
        <v>658</v>
      </c>
      <c r="I807" s="6">
        <v>8</v>
      </c>
      <c r="J807" t="s">
        <v>71</v>
      </c>
      <c r="K807" t="s">
        <v>659</v>
      </c>
    </row>
    <row r="808" spans="1:11">
      <c r="A808" t="s">
        <v>1777</v>
      </c>
      <c r="B808" s="5">
        <v>46210</v>
      </c>
      <c r="C808" t="s">
        <v>1774</v>
      </c>
      <c r="D808" t="s">
        <v>67</v>
      </c>
      <c r="E808" t="s">
        <v>40</v>
      </c>
      <c r="F808" t="s">
        <v>82</v>
      </c>
      <c r="G808" t="s">
        <v>124</v>
      </c>
      <c r="H808" t="s">
        <v>125</v>
      </c>
      <c r="I808" s="6">
        <v>8</v>
      </c>
      <c r="J808" t="s">
        <v>71</v>
      </c>
      <c r="K808" t="s">
        <v>128</v>
      </c>
    </row>
    <row r="809" spans="1:11">
      <c r="A809" t="s">
        <v>1778</v>
      </c>
      <c r="B809" s="5">
        <v>46212</v>
      </c>
      <c r="C809" t="s">
        <v>1774</v>
      </c>
      <c r="D809" t="s">
        <v>67</v>
      </c>
      <c r="E809" t="s">
        <v>40</v>
      </c>
      <c r="F809" t="s">
        <v>68</v>
      </c>
      <c r="G809" t="s">
        <v>231</v>
      </c>
      <c r="H809" t="s">
        <v>232</v>
      </c>
      <c r="I809" s="6">
        <v>7.5</v>
      </c>
      <c r="J809" t="s">
        <v>71</v>
      </c>
      <c r="K809" t="s">
        <v>233</v>
      </c>
    </row>
    <row r="810" spans="1:11">
      <c r="A810" t="s">
        <v>1779</v>
      </c>
      <c r="B810" s="5">
        <v>46216</v>
      </c>
      <c r="C810" t="s">
        <v>1774</v>
      </c>
      <c r="D810" t="s">
        <v>67</v>
      </c>
      <c r="E810" t="s">
        <v>40</v>
      </c>
      <c r="F810" t="s">
        <v>68</v>
      </c>
      <c r="G810" t="s">
        <v>1685</v>
      </c>
      <c r="H810" t="s">
        <v>1686</v>
      </c>
      <c r="I810" s="6">
        <v>8.5</v>
      </c>
      <c r="J810" t="s">
        <v>71</v>
      </c>
      <c r="K810" t="s">
        <v>1687</v>
      </c>
    </row>
    <row r="811" spans="1:11">
      <c r="A811" t="s">
        <v>1780</v>
      </c>
      <c r="B811" s="5">
        <v>46217</v>
      </c>
      <c r="C811" t="s">
        <v>1774</v>
      </c>
      <c r="D811" t="s">
        <v>67</v>
      </c>
      <c r="E811" t="s">
        <v>40</v>
      </c>
      <c r="F811" t="s">
        <v>68</v>
      </c>
      <c r="G811" t="s">
        <v>1366</v>
      </c>
      <c r="H811" t="s">
        <v>1367</v>
      </c>
      <c r="I811" s="6">
        <v>8.5</v>
      </c>
      <c r="J811" t="s">
        <v>71</v>
      </c>
      <c r="K811" t="s">
        <v>1368</v>
      </c>
    </row>
    <row r="812" spans="1:11">
      <c r="A812" t="s">
        <v>1781</v>
      </c>
      <c r="B812" s="5">
        <v>46204</v>
      </c>
      <c r="C812" t="s">
        <v>1782</v>
      </c>
      <c r="D812" t="s">
        <v>67</v>
      </c>
      <c r="E812" t="s">
        <v>40</v>
      </c>
      <c r="F812" t="s">
        <v>68</v>
      </c>
      <c r="G812" t="s">
        <v>74</v>
      </c>
      <c r="H812" t="s">
        <v>75</v>
      </c>
      <c r="I812" s="6">
        <v>9.5</v>
      </c>
      <c r="J812" t="s">
        <v>71</v>
      </c>
      <c r="K812" t="s">
        <v>286</v>
      </c>
    </row>
    <row r="813" spans="1:11">
      <c r="A813" t="s">
        <v>1783</v>
      </c>
      <c r="B813" s="5">
        <v>46205</v>
      </c>
      <c r="C813" t="s">
        <v>1782</v>
      </c>
      <c r="D813" t="s">
        <v>67</v>
      </c>
      <c r="E813" t="s">
        <v>40</v>
      </c>
      <c r="F813" t="s">
        <v>82</v>
      </c>
      <c r="G813" t="s">
        <v>74</v>
      </c>
      <c r="H813" t="s">
        <v>75</v>
      </c>
      <c r="I813" s="6">
        <v>9.5</v>
      </c>
      <c r="J813" t="s">
        <v>71</v>
      </c>
      <c r="K813" t="s">
        <v>1784</v>
      </c>
    </row>
    <row r="814" spans="1:11">
      <c r="A814" t="s">
        <v>1785</v>
      </c>
      <c r="B814" s="5">
        <v>46206</v>
      </c>
      <c r="C814" t="s">
        <v>1782</v>
      </c>
      <c r="D814" t="s">
        <v>67</v>
      </c>
      <c r="E814" t="s">
        <v>40</v>
      </c>
      <c r="F814" t="s">
        <v>82</v>
      </c>
      <c r="G814" t="s">
        <v>74</v>
      </c>
      <c r="H814" t="s">
        <v>75</v>
      </c>
      <c r="I814" s="6">
        <v>8.5</v>
      </c>
      <c r="J814" t="s">
        <v>71</v>
      </c>
      <c r="K814" t="s">
        <v>872</v>
      </c>
    </row>
    <row r="815" spans="1:11">
      <c r="A815" t="s">
        <v>1786</v>
      </c>
      <c r="B815" s="5">
        <v>46204</v>
      </c>
      <c r="C815" t="s">
        <v>1787</v>
      </c>
      <c r="I815" s="6">
        <v>0</v>
      </c>
      <c r="J815" t="s">
        <v>1788</v>
      </c>
      <c r="K815" t="s">
        <v>1789</v>
      </c>
    </row>
    <row r="816" spans="1:11">
      <c r="A816" t="s">
        <v>1790</v>
      </c>
      <c r="B816" s="5">
        <v>46205</v>
      </c>
      <c r="C816" t="s">
        <v>1787</v>
      </c>
      <c r="I816" s="6">
        <v>0</v>
      </c>
      <c r="J816" t="s">
        <v>1788</v>
      </c>
      <c r="K816" t="s">
        <v>1789</v>
      </c>
    </row>
    <row r="817" spans="1:11">
      <c r="A817" t="s">
        <v>1791</v>
      </c>
      <c r="B817" s="5">
        <v>46206</v>
      </c>
      <c r="C817" t="s">
        <v>1787</v>
      </c>
      <c r="I817" s="6">
        <v>0</v>
      </c>
      <c r="J817" t="s">
        <v>1788</v>
      </c>
      <c r="K817" t="s">
        <v>1789</v>
      </c>
    </row>
    <row r="818" spans="1:11">
      <c r="A818" t="s">
        <v>1792</v>
      </c>
      <c r="B818" s="5">
        <v>46204</v>
      </c>
      <c r="C818" t="s">
        <v>1793</v>
      </c>
      <c r="D818" t="s">
        <v>67</v>
      </c>
      <c r="E818" t="s">
        <v>40</v>
      </c>
      <c r="F818" t="s">
        <v>179</v>
      </c>
      <c r="G818" t="s">
        <v>521</v>
      </c>
      <c r="H818" t="s">
        <v>522</v>
      </c>
      <c r="I818" s="6">
        <v>9</v>
      </c>
      <c r="J818" t="s">
        <v>71</v>
      </c>
      <c r="K818" t="s">
        <v>1794</v>
      </c>
    </row>
    <row r="819" spans="1:11">
      <c r="A819" t="s">
        <v>1795</v>
      </c>
      <c r="B819" s="5">
        <v>46205</v>
      </c>
      <c r="C819" t="s">
        <v>1793</v>
      </c>
      <c r="D819" t="s">
        <v>67</v>
      </c>
      <c r="E819" t="s">
        <v>40</v>
      </c>
      <c r="F819" t="s">
        <v>179</v>
      </c>
      <c r="G819" t="s">
        <v>521</v>
      </c>
      <c r="H819" t="s">
        <v>522</v>
      </c>
      <c r="I819" s="6">
        <v>7.25</v>
      </c>
      <c r="J819" t="s">
        <v>71</v>
      </c>
      <c r="K819" t="s">
        <v>1796</v>
      </c>
    </row>
    <row r="820" spans="1:11">
      <c r="A820" t="s">
        <v>1797</v>
      </c>
      <c r="B820" s="5">
        <v>46206</v>
      </c>
      <c r="C820" t="s">
        <v>1793</v>
      </c>
      <c r="D820" t="s">
        <v>67</v>
      </c>
      <c r="E820" t="s">
        <v>40</v>
      </c>
      <c r="F820" t="s">
        <v>179</v>
      </c>
      <c r="G820" t="s">
        <v>1798</v>
      </c>
      <c r="H820" t="s">
        <v>1799</v>
      </c>
      <c r="I820" s="6">
        <v>6.5</v>
      </c>
      <c r="J820" t="s">
        <v>71</v>
      </c>
      <c r="K820" t="s">
        <v>1800</v>
      </c>
    </row>
    <row r="821" spans="1:11">
      <c r="A821" t="s">
        <v>1801</v>
      </c>
      <c r="B821" s="5">
        <v>46209</v>
      </c>
      <c r="C821" t="s">
        <v>1793</v>
      </c>
      <c r="D821" t="s">
        <v>67</v>
      </c>
      <c r="E821" t="s">
        <v>40</v>
      </c>
      <c r="F821" t="s">
        <v>179</v>
      </c>
      <c r="G821" t="s">
        <v>606</v>
      </c>
      <c r="H821" t="s">
        <v>607</v>
      </c>
      <c r="I821" s="6">
        <v>9</v>
      </c>
      <c r="J821" t="s">
        <v>71</v>
      </c>
      <c r="K821" t="s">
        <v>1802</v>
      </c>
    </row>
    <row r="822" spans="1:11">
      <c r="A822" t="s">
        <v>1803</v>
      </c>
      <c r="B822" s="5">
        <v>46210</v>
      </c>
      <c r="C822" t="s">
        <v>1793</v>
      </c>
      <c r="D822" t="s">
        <v>67</v>
      </c>
      <c r="E822" t="s">
        <v>40</v>
      </c>
      <c r="F822" t="s">
        <v>179</v>
      </c>
      <c r="G822" t="s">
        <v>610</v>
      </c>
      <c r="H822" t="s">
        <v>611</v>
      </c>
      <c r="I822" s="6">
        <v>7</v>
      </c>
      <c r="J822" t="s">
        <v>71</v>
      </c>
      <c r="K822" t="s">
        <v>1804</v>
      </c>
    </row>
    <row r="823" spans="1:11">
      <c r="A823" t="s">
        <v>1805</v>
      </c>
      <c r="B823" s="5">
        <v>46211</v>
      </c>
      <c r="C823" t="s">
        <v>1793</v>
      </c>
      <c r="D823" t="s">
        <v>67</v>
      </c>
      <c r="E823" t="s">
        <v>40</v>
      </c>
      <c r="F823" t="s">
        <v>179</v>
      </c>
      <c r="G823" t="s">
        <v>1129</v>
      </c>
      <c r="H823" t="s">
        <v>317</v>
      </c>
      <c r="I823" s="6">
        <v>7</v>
      </c>
      <c r="J823" t="s">
        <v>71</v>
      </c>
      <c r="K823" t="s">
        <v>1806</v>
      </c>
    </row>
    <row r="824" spans="1:11">
      <c r="A824" t="s">
        <v>1807</v>
      </c>
      <c r="B824" s="5">
        <v>46212</v>
      </c>
      <c r="C824" t="s">
        <v>1793</v>
      </c>
      <c r="D824" t="s">
        <v>67</v>
      </c>
      <c r="E824" t="s">
        <v>40</v>
      </c>
      <c r="F824" t="s">
        <v>179</v>
      </c>
      <c r="G824" t="s">
        <v>231</v>
      </c>
      <c r="H824" t="s">
        <v>232</v>
      </c>
      <c r="I824" s="6">
        <v>7.5</v>
      </c>
      <c r="J824" t="s">
        <v>71</v>
      </c>
      <c r="K824" t="s">
        <v>1595</v>
      </c>
    </row>
    <row r="825" spans="1:11">
      <c r="A825" t="s">
        <v>1808</v>
      </c>
      <c r="B825" s="5">
        <v>46216</v>
      </c>
      <c r="C825" t="s">
        <v>1793</v>
      </c>
      <c r="D825" t="s">
        <v>67</v>
      </c>
      <c r="E825" t="s">
        <v>40</v>
      </c>
      <c r="F825" t="s">
        <v>179</v>
      </c>
      <c r="G825" t="s">
        <v>610</v>
      </c>
      <c r="H825" t="s">
        <v>611</v>
      </c>
      <c r="I825" s="6">
        <v>1</v>
      </c>
      <c r="J825" t="s">
        <v>71</v>
      </c>
      <c r="K825" t="s">
        <v>1809</v>
      </c>
    </row>
    <row r="826" spans="1:11">
      <c r="A826" t="s">
        <v>1810</v>
      </c>
      <c r="B826" s="5">
        <v>46217</v>
      </c>
      <c r="C826" t="s">
        <v>1793</v>
      </c>
      <c r="D826" t="s">
        <v>67</v>
      </c>
      <c r="E826" t="s">
        <v>40</v>
      </c>
      <c r="F826" t="s">
        <v>179</v>
      </c>
      <c r="G826" t="s">
        <v>549</v>
      </c>
      <c r="H826" t="s">
        <v>550</v>
      </c>
      <c r="I826" s="6">
        <v>7</v>
      </c>
      <c r="J826" t="s">
        <v>71</v>
      </c>
      <c r="K826" t="s">
        <v>1811</v>
      </c>
    </row>
    <row r="827" spans="1:11">
      <c r="A827" t="s">
        <v>1812</v>
      </c>
      <c r="B827" s="5">
        <v>46218</v>
      </c>
      <c r="C827" t="s">
        <v>1793</v>
      </c>
      <c r="D827" t="s">
        <v>67</v>
      </c>
      <c r="E827" t="s">
        <v>40</v>
      </c>
      <c r="F827" t="s">
        <v>179</v>
      </c>
      <c r="G827" t="s">
        <v>549</v>
      </c>
      <c r="H827" t="s">
        <v>550</v>
      </c>
      <c r="I827" s="6">
        <v>8</v>
      </c>
      <c r="J827" t="s">
        <v>71</v>
      </c>
      <c r="K827" t="s">
        <v>1813</v>
      </c>
    </row>
    <row r="828" spans="1:11">
      <c r="A828" t="s">
        <v>1814</v>
      </c>
      <c r="B828" s="5">
        <v>46209</v>
      </c>
      <c r="C828" t="s">
        <v>1815</v>
      </c>
      <c r="D828" t="s">
        <v>67</v>
      </c>
      <c r="E828" t="s">
        <v>26</v>
      </c>
      <c r="F828" t="s">
        <v>68</v>
      </c>
      <c r="G828" t="s">
        <v>763</v>
      </c>
      <c r="H828" t="s">
        <v>764</v>
      </c>
      <c r="I828" s="6">
        <v>7.5</v>
      </c>
      <c r="J828" t="s">
        <v>71</v>
      </c>
      <c r="K828" t="s">
        <v>1816</v>
      </c>
    </row>
    <row r="829" spans="1:11">
      <c r="A829" t="s">
        <v>1817</v>
      </c>
      <c r="B829" s="5">
        <v>46211</v>
      </c>
      <c r="C829" t="s">
        <v>1815</v>
      </c>
      <c r="D829" t="s">
        <v>67</v>
      </c>
      <c r="E829" t="s">
        <v>29</v>
      </c>
      <c r="F829" t="s">
        <v>68</v>
      </c>
      <c r="G829" t="s">
        <v>201</v>
      </c>
      <c r="H829" t="s">
        <v>202</v>
      </c>
      <c r="I829" s="6">
        <v>8.5</v>
      </c>
      <c r="J829" t="s">
        <v>71</v>
      </c>
      <c r="K829" t="s">
        <v>360</v>
      </c>
    </row>
    <row r="830" spans="1:11">
      <c r="A830" t="s">
        <v>1818</v>
      </c>
      <c r="B830" s="5">
        <v>46212</v>
      </c>
      <c r="C830" t="s">
        <v>1815</v>
      </c>
      <c r="D830" t="s">
        <v>67</v>
      </c>
      <c r="E830" t="s">
        <v>28</v>
      </c>
      <c r="F830" t="s">
        <v>68</v>
      </c>
      <c r="G830" t="s">
        <v>362</v>
      </c>
      <c r="H830" t="s">
        <v>363</v>
      </c>
      <c r="I830" s="6">
        <v>6.25</v>
      </c>
      <c r="J830" t="s">
        <v>71</v>
      </c>
      <c r="K830" t="s">
        <v>1819</v>
      </c>
    </row>
    <row r="831" spans="1:11">
      <c r="A831" t="s">
        <v>1820</v>
      </c>
      <c r="B831" s="5">
        <v>46213</v>
      </c>
      <c r="C831" t="s">
        <v>1815</v>
      </c>
      <c r="D831" t="s">
        <v>67</v>
      </c>
      <c r="E831" t="s">
        <v>28</v>
      </c>
      <c r="F831" t="s">
        <v>82</v>
      </c>
      <c r="G831" t="s">
        <v>362</v>
      </c>
      <c r="H831" t="s">
        <v>363</v>
      </c>
      <c r="I831" s="6">
        <v>5</v>
      </c>
      <c r="J831" t="s">
        <v>71</v>
      </c>
      <c r="K831" t="s">
        <v>1821</v>
      </c>
    </row>
    <row r="832" spans="1:11">
      <c r="A832" t="s">
        <v>1822</v>
      </c>
      <c r="B832" s="5">
        <v>46214</v>
      </c>
      <c r="C832" t="s">
        <v>1815</v>
      </c>
      <c r="D832" t="s">
        <v>67</v>
      </c>
      <c r="E832" t="s">
        <v>28</v>
      </c>
      <c r="F832" t="s">
        <v>82</v>
      </c>
      <c r="G832" t="s">
        <v>362</v>
      </c>
      <c r="H832" t="s">
        <v>363</v>
      </c>
      <c r="I832" s="6">
        <v>7</v>
      </c>
      <c r="J832" t="s">
        <v>71</v>
      </c>
      <c r="K832" t="s">
        <v>1823</v>
      </c>
    </row>
    <row r="833" spans="1:11">
      <c r="A833" t="s">
        <v>1824</v>
      </c>
      <c r="B833" s="5">
        <v>46215</v>
      </c>
      <c r="C833" t="s">
        <v>1815</v>
      </c>
      <c r="D833" t="s">
        <v>67</v>
      </c>
      <c r="E833" t="s">
        <v>28</v>
      </c>
      <c r="F833" t="s">
        <v>82</v>
      </c>
      <c r="G833" t="s">
        <v>362</v>
      </c>
      <c r="H833" t="s">
        <v>363</v>
      </c>
      <c r="I833" s="6">
        <v>6</v>
      </c>
      <c r="J833" t="s">
        <v>71</v>
      </c>
      <c r="K833" t="s">
        <v>1825</v>
      </c>
    </row>
    <row r="834" spans="1:11">
      <c r="A834" t="s">
        <v>1826</v>
      </c>
      <c r="B834" s="5">
        <v>46216</v>
      </c>
      <c r="C834" t="s">
        <v>1815</v>
      </c>
      <c r="D834" t="s">
        <v>67</v>
      </c>
      <c r="E834" t="s">
        <v>28</v>
      </c>
      <c r="F834" t="s">
        <v>68</v>
      </c>
      <c r="G834" t="s">
        <v>1827</v>
      </c>
      <c r="H834" t="s">
        <v>1828</v>
      </c>
      <c r="I834" s="6">
        <v>11</v>
      </c>
      <c r="J834" t="s">
        <v>95</v>
      </c>
      <c r="K834" t="s">
        <v>1829</v>
      </c>
    </row>
    <row r="835" spans="1:11">
      <c r="A835" t="s">
        <v>1830</v>
      </c>
      <c r="B835" s="5">
        <v>46217</v>
      </c>
      <c r="C835" t="s">
        <v>1815</v>
      </c>
      <c r="D835" t="s">
        <v>67</v>
      </c>
      <c r="E835" t="s">
        <v>28</v>
      </c>
      <c r="F835" t="s">
        <v>68</v>
      </c>
      <c r="G835" t="s">
        <v>356</v>
      </c>
      <c r="H835" t="s">
        <v>357</v>
      </c>
      <c r="I835" s="6">
        <v>6.5</v>
      </c>
      <c r="J835" t="s">
        <v>71</v>
      </c>
      <c r="K835" t="s">
        <v>1831</v>
      </c>
    </row>
    <row r="836" spans="1:11">
      <c r="A836" t="s">
        <v>1832</v>
      </c>
      <c r="B836" s="5">
        <v>46218</v>
      </c>
      <c r="C836" t="s">
        <v>1815</v>
      </c>
      <c r="D836" t="s">
        <v>67</v>
      </c>
      <c r="E836" t="s">
        <v>28</v>
      </c>
      <c r="F836" t="s">
        <v>504</v>
      </c>
      <c r="G836" t="s">
        <v>219</v>
      </c>
      <c r="H836" t="s">
        <v>220</v>
      </c>
      <c r="I836" s="6">
        <v>10.5</v>
      </c>
      <c r="J836" t="s">
        <v>95</v>
      </c>
      <c r="K836" t="s">
        <v>1833</v>
      </c>
    </row>
    <row r="837" spans="1:11">
      <c r="A837" t="s">
        <v>1834</v>
      </c>
      <c r="B837" s="5">
        <v>46205</v>
      </c>
      <c r="C837" t="s">
        <v>1835</v>
      </c>
      <c r="D837" t="s">
        <v>67</v>
      </c>
      <c r="E837" t="s">
        <v>28</v>
      </c>
      <c r="F837" t="s">
        <v>179</v>
      </c>
      <c r="G837" t="s">
        <v>1836</v>
      </c>
      <c r="H837" t="s">
        <v>1837</v>
      </c>
      <c r="I837" s="6">
        <v>4.5</v>
      </c>
      <c r="J837" t="s">
        <v>71</v>
      </c>
      <c r="K837" t="s">
        <v>1838</v>
      </c>
    </row>
    <row r="838" spans="1:11">
      <c r="A838" t="s">
        <v>1839</v>
      </c>
      <c r="B838" s="5">
        <v>46206</v>
      </c>
      <c r="C838" t="s">
        <v>1835</v>
      </c>
      <c r="D838" t="s">
        <v>67</v>
      </c>
      <c r="E838" t="s">
        <v>28</v>
      </c>
      <c r="F838" t="s">
        <v>179</v>
      </c>
      <c r="G838" t="s">
        <v>1840</v>
      </c>
      <c r="H838" t="s">
        <v>1841</v>
      </c>
      <c r="I838" s="6">
        <v>8</v>
      </c>
      <c r="J838" t="s">
        <v>71</v>
      </c>
      <c r="K838" t="s">
        <v>1842</v>
      </c>
    </row>
    <row r="839" spans="1:11">
      <c r="A839" t="s">
        <v>1843</v>
      </c>
      <c r="B839" s="5">
        <v>46209</v>
      </c>
      <c r="C839" t="s">
        <v>1835</v>
      </c>
      <c r="D839" t="s">
        <v>67</v>
      </c>
      <c r="E839" t="s">
        <v>28</v>
      </c>
      <c r="F839" t="s">
        <v>179</v>
      </c>
      <c r="G839" t="s">
        <v>1283</v>
      </c>
      <c r="H839" t="s">
        <v>1284</v>
      </c>
      <c r="I839" s="6">
        <v>9</v>
      </c>
      <c r="J839" t="s">
        <v>95</v>
      </c>
      <c r="K839" t="s">
        <v>1844</v>
      </c>
    </row>
    <row r="840" spans="1:11">
      <c r="A840" t="s">
        <v>1845</v>
      </c>
      <c r="B840" s="5">
        <v>46210</v>
      </c>
      <c r="C840" t="s">
        <v>1835</v>
      </c>
      <c r="D840" t="s">
        <v>67</v>
      </c>
      <c r="E840" t="s">
        <v>28</v>
      </c>
      <c r="F840" t="s">
        <v>179</v>
      </c>
      <c r="G840" t="s">
        <v>267</v>
      </c>
      <c r="H840" t="s">
        <v>268</v>
      </c>
      <c r="I840" s="6">
        <v>8.5</v>
      </c>
      <c r="J840" t="s">
        <v>71</v>
      </c>
      <c r="K840" t="s">
        <v>1846</v>
      </c>
    </row>
    <row r="841" spans="1:11">
      <c r="A841" t="s">
        <v>1847</v>
      </c>
      <c r="B841" s="5">
        <v>46211</v>
      </c>
      <c r="C841" t="s">
        <v>1835</v>
      </c>
      <c r="D841" t="s">
        <v>67</v>
      </c>
      <c r="E841" t="s">
        <v>28</v>
      </c>
      <c r="F841" t="s">
        <v>179</v>
      </c>
      <c r="G841" t="s">
        <v>1289</v>
      </c>
      <c r="H841" t="s">
        <v>1290</v>
      </c>
      <c r="I841" s="6">
        <v>11.5</v>
      </c>
      <c r="J841" t="s">
        <v>71</v>
      </c>
      <c r="K841" t="s">
        <v>1848</v>
      </c>
    </row>
    <row r="842" spans="1:11">
      <c r="A842" t="s">
        <v>1849</v>
      </c>
      <c r="B842" s="5">
        <v>46212</v>
      </c>
      <c r="C842" t="s">
        <v>1835</v>
      </c>
      <c r="D842" t="s">
        <v>67</v>
      </c>
      <c r="E842" t="s">
        <v>9</v>
      </c>
      <c r="F842" t="s">
        <v>179</v>
      </c>
      <c r="G842" t="s">
        <v>275</v>
      </c>
      <c r="H842" t="s">
        <v>276</v>
      </c>
      <c r="I842" s="6">
        <v>6.25</v>
      </c>
      <c r="J842" t="s">
        <v>71</v>
      </c>
      <c r="K842" t="s">
        <v>1850</v>
      </c>
    </row>
    <row r="843" spans="1:11">
      <c r="A843" t="s">
        <v>1851</v>
      </c>
      <c r="B843" s="5">
        <v>46213</v>
      </c>
      <c r="C843" t="s">
        <v>1835</v>
      </c>
      <c r="D843" t="s">
        <v>67</v>
      </c>
      <c r="E843" t="s">
        <v>9</v>
      </c>
      <c r="F843" t="s">
        <v>179</v>
      </c>
      <c r="G843" t="s">
        <v>275</v>
      </c>
      <c r="H843" t="s">
        <v>276</v>
      </c>
      <c r="I843" s="6">
        <v>9.75</v>
      </c>
      <c r="J843" t="s">
        <v>71</v>
      </c>
      <c r="K843" t="s">
        <v>1852</v>
      </c>
    </row>
    <row r="844" spans="1:11">
      <c r="A844" t="s">
        <v>1853</v>
      </c>
      <c r="B844" s="5">
        <v>46214</v>
      </c>
      <c r="C844" t="s">
        <v>1835</v>
      </c>
      <c r="D844" t="s">
        <v>67</v>
      </c>
      <c r="E844" t="s">
        <v>28</v>
      </c>
      <c r="F844" t="s">
        <v>179</v>
      </c>
      <c r="G844" t="s">
        <v>362</v>
      </c>
      <c r="H844" t="s">
        <v>363</v>
      </c>
      <c r="I844" s="6">
        <v>7</v>
      </c>
      <c r="J844" t="s">
        <v>71</v>
      </c>
      <c r="K844" t="s">
        <v>366</v>
      </c>
    </row>
    <row r="845" spans="1:11">
      <c r="A845" t="s">
        <v>1854</v>
      </c>
      <c r="B845" s="5">
        <v>46216</v>
      </c>
      <c r="C845" t="s">
        <v>1835</v>
      </c>
      <c r="D845" t="s">
        <v>67</v>
      </c>
      <c r="E845" t="s">
        <v>28</v>
      </c>
      <c r="F845" t="s">
        <v>179</v>
      </c>
      <c r="G845" t="s">
        <v>1827</v>
      </c>
      <c r="H845" t="s">
        <v>1828</v>
      </c>
      <c r="I845" s="6">
        <v>11</v>
      </c>
      <c r="J845" t="s">
        <v>95</v>
      </c>
      <c r="K845" t="s">
        <v>1855</v>
      </c>
    </row>
    <row r="846" spans="1:11">
      <c r="A846" t="s">
        <v>1856</v>
      </c>
      <c r="B846" s="5">
        <v>46217</v>
      </c>
      <c r="C846" t="s">
        <v>1835</v>
      </c>
      <c r="D846" t="s">
        <v>67</v>
      </c>
      <c r="E846" t="s">
        <v>28</v>
      </c>
      <c r="F846" t="s">
        <v>179</v>
      </c>
      <c r="G846" t="s">
        <v>356</v>
      </c>
      <c r="H846" t="s">
        <v>357</v>
      </c>
      <c r="I846" s="6">
        <v>6.5</v>
      </c>
      <c r="J846" t="s">
        <v>71</v>
      </c>
      <c r="K846" t="s">
        <v>1857</v>
      </c>
    </row>
    <row r="847" spans="1:11">
      <c r="A847" t="s">
        <v>1858</v>
      </c>
      <c r="B847" s="5">
        <v>46218</v>
      </c>
      <c r="C847" t="s">
        <v>1835</v>
      </c>
      <c r="D847" t="s">
        <v>67</v>
      </c>
      <c r="E847" t="s">
        <v>28</v>
      </c>
      <c r="F847" t="s">
        <v>68</v>
      </c>
      <c r="G847" t="s">
        <v>219</v>
      </c>
      <c r="H847" t="s">
        <v>220</v>
      </c>
      <c r="I847" s="6">
        <v>8</v>
      </c>
      <c r="J847" t="s">
        <v>71</v>
      </c>
      <c r="K847" t="s">
        <v>283</v>
      </c>
    </row>
    <row r="848" spans="1:11">
      <c r="A848" t="s">
        <v>1859</v>
      </c>
      <c r="B848" s="5">
        <v>46204</v>
      </c>
      <c r="C848" t="s">
        <v>1860</v>
      </c>
      <c r="D848" t="s">
        <v>67</v>
      </c>
      <c r="E848" t="s">
        <v>9</v>
      </c>
      <c r="F848" t="s">
        <v>68</v>
      </c>
      <c r="G848" t="s">
        <v>940</v>
      </c>
      <c r="H848" t="s">
        <v>941</v>
      </c>
      <c r="I848" s="6">
        <v>8</v>
      </c>
      <c r="J848" t="s">
        <v>71</v>
      </c>
      <c r="K848" t="s">
        <v>1861</v>
      </c>
    </row>
    <row r="849" spans="1:11">
      <c r="A849" t="s">
        <v>1862</v>
      </c>
      <c r="B849" s="5">
        <v>46205</v>
      </c>
      <c r="C849" t="s">
        <v>1860</v>
      </c>
      <c r="D849" t="s">
        <v>67</v>
      </c>
      <c r="E849" t="s">
        <v>9</v>
      </c>
      <c r="F849" t="s">
        <v>504</v>
      </c>
      <c r="G849" t="s">
        <v>788</v>
      </c>
      <c r="H849" t="s">
        <v>789</v>
      </c>
      <c r="I849" s="6">
        <v>9</v>
      </c>
      <c r="J849" t="s">
        <v>95</v>
      </c>
      <c r="K849" t="s">
        <v>1863</v>
      </c>
    </row>
    <row r="850" spans="1:11">
      <c r="A850" t="s">
        <v>1864</v>
      </c>
      <c r="B850" s="5">
        <v>46206</v>
      </c>
      <c r="C850" t="s">
        <v>1860</v>
      </c>
      <c r="D850" t="s">
        <v>67</v>
      </c>
      <c r="E850" t="s">
        <v>9</v>
      </c>
      <c r="F850" t="s">
        <v>82</v>
      </c>
      <c r="G850" t="s">
        <v>188</v>
      </c>
      <c r="H850" t="s">
        <v>189</v>
      </c>
      <c r="I850" s="6">
        <v>9</v>
      </c>
      <c r="J850" t="s">
        <v>71</v>
      </c>
      <c r="K850" t="s">
        <v>1865</v>
      </c>
    </row>
    <row r="851" spans="1:11">
      <c r="A851" t="s">
        <v>1866</v>
      </c>
      <c r="B851" s="5">
        <v>46209</v>
      </c>
      <c r="C851" t="s">
        <v>1860</v>
      </c>
      <c r="D851" t="s">
        <v>67</v>
      </c>
      <c r="E851" t="s">
        <v>9</v>
      </c>
      <c r="F851" t="s">
        <v>82</v>
      </c>
      <c r="G851" t="s">
        <v>950</v>
      </c>
      <c r="H851" t="s">
        <v>216</v>
      </c>
      <c r="I851" s="6">
        <v>8.25</v>
      </c>
      <c r="J851" t="s">
        <v>71</v>
      </c>
      <c r="K851" t="s">
        <v>951</v>
      </c>
    </row>
    <row r="852" spans="1:11">
      <c r="A852" t="s">
        <v>1867</v>
      </c>
      <c r="B852" s="5">
        <v>46210</v>
      </c>
      <c r="C852" t="s">
        <v>1860</v>
      </c>
      <c r="D852" t="s">
        <v>67</v>
      </c>
      <c r="E852" t="s">
        <v>30</v>
      </c>
      <c r="F852" t="s">
        <v>82</v>
      </c>
      <c r="G852" t="s">
        <v>794</v>
      </c>
      <c r="H852" t="s">
        <v>795</v>
      </c>
      <c r="I852" s="6">
        <v>9</v>
      </c>
      <c r="J852" t="s">
        <v>71</v>
      </c>
      <c r="K852" t="s">
        <v>796</v>
      </c>
    </row>
    <row r="853" spans="1:11">
      <c r="A853" t="s">
        <v>1868</v>
      </c>
      <c r="B853" s="5">
        <v>46211</v>
      </c>
      <c r="C853" t="s">
        <v>1860</v>
      </c>
      <c r="D853" t="s">
        <v>67</v>
      </c>
      <c r="E853" t="s">
        <v>9</v>
      </c>
      <c r="F853" t="s">
        <v>82</v>
      </c>
      <c r="G853" t="s">
        <v>509</v>
      </c>
      <c r="H853" t="s">
        <v>510</v>
      </c>
      <c r="I853" s="6">
        <v>9</v>
      </c>
      <c r="J853" t="s">
        <v>71</v>
      </c>
      <c r="K853" t="s">
        <v>1869</v>
      </c>
    </row>
    <row r="854" spans="1:11">
      <c r="A854" t="s">
        <v>1870</v>
      </c>
      <c r="B854" s="5">
        <v>46212</v>
      </c>
      <c r="C854" t="s">
        <v>1860</v>
      </c>
      <c r="D854" t="s">
        <v>67</v>
      </c>
      <c r="E854" t="s">
        <v>9</v>
      </c>
      <c r="F854" t="s">
        <v>82</v>
      </c>
      <c r="G854" t="s">
        <v>509</v>
      </c>
      <c r="H854" t="s">
        <v>510</v>
      </c>
      <c r="I854" s="6">
        <v>9</v>
      </c>
      <c r="J854" t="s">
        <v>71</v>
      </c>
      <c r="K854" t="s">
        <v>1869</v>
      </c>
    </row>
    <row r="855" spans="1:11">
      <c r="A855" t="s">
        <v>1871</v>
      </c>
      <c r="B855" s="5">
        <v>46213</v>
      </c>
      <c r="C855" t="s">
        <v>1860</v>
      </c>
      <c r="D855" t="s">
        <v>67</v>
      </c>
      <c r="E855" t="s">
        <v>9</v>
      </c>
      <c r="F855" t="s">
        <v>82</v>
      </c>
      <c r="G855" t="s">
        <v>966</v>
      </c>
      <c r="H855" t="s">
        <v>185</v>
      </c>
      <c r="I855" s="6">
        <v>7.5</v>
      </c>
      <c r="J855" t="s">
        <v>71</v>
      </c>
      <c r="K855" t="s">
        <v>1872</v>
      </c>
    </row>
    <row r="856" spans="1:11">
      <c r="A856" t="s">
        <v>1873</v>
      </c>
      <c r="B856" s="5">
        <v>46216</v>
      </c>
      <c r="C856" t="s">
        <v>1860</v>
      </c>
      <c r="D856" t="s">
        <v>67</v>
      </c>
      <c r="E856" t="s">
        <v>9</v>
      </c>
      <c r="F856" t="s">
        <v>82</v>
      </c>
      <c r="G856" t="s">
        <v>966</v>
      </c>
      <c r="H856" t="s">
        <v>185</v>
      </c>
      <c r="I856" s="6">
        <v>6.75</v>
      </c>
      <c r="J856" t="s">
        <v>71</v>
      </c>
      <c r="K856" t="s">
        <v>1874</v>
      </c>
    </row>
    <row r="857" spans="1:11">
      <c r="A857" t="s">
        <v>1875</v>
      </c>
      <c r="B857" s="5">
        <v>46217</v>
      </c>
      <c r="C857" t="s">
        <v>1860</v>
      </c>
      <c r="D857" t="s">
        <v>67</v>
      </c>
      <c r="E857" t="s">
        <v>9</v>
      </c>
      <c r="F857" t="s">
        <v>82</v>
      </c>
      <c r="G857" t="s">
        <v>1876</v>
      </c>
      <c r="H857" t="s">
        <v>1877</v>
      </c>
      <c r="I857" s="6">
        <v>7</v>
      </c>
      <c r="J857" t="s">
        <v>71</v>
      </c>
      <c r="K857" t="s">
        <v>1878</v>
      </c>
    </row>
    <row r="858" spans="1:11">
      <c r="A858" t="s">
        <v>1879</v>
      </c>
      <c r="B858" s="5">
        <v>46218</v>
      </c>
      <c r="C858" t="s">
        <v>1860</v>
      </c>
      <c r="D858" t="s">
        <v>67</v>
      </c>
      <c r="E858" t="s">
        <v>9</v>
      </c>
      <c r="F858" t="s">
        <v>82</v>
      </c>
      <c r="G858" t="s">
        <v>1876</v>
      </c>
      <c r="H858" t="s">
        <v>1877</v>
      </c>
      <c r="I858" s="6">
        <v>8</v>
      </c>
      <c r="J858" t="s">
        <v>71</v>
      </c>
      <c r="K858" t="s">
        <v>1880</v>
      </c>
    </row>
    <row r="859" spans="1:11">
      <c r="A859" t="s">
        <v>1881</v>
      </c>
      <c r="B859" s="5">
        <v>46204</v>
      </c>
      <c r="C859" t="s">
        <v>1882</v>
      </c>
      <c r="D859" t="s">
        <v>67</v>
      </c>
      <c r="E859" t="s">
        <v>40</v>
      </c>
      <c r="F859" t="s">
        <v>82</v>
      </c>
      <c r="G859" t="s">
        <v>1329</v>
      </c>
      <c r="H859" t="s">
        <v>70</v>
      </c>
      <c r="I859" s="6">
        <v>8</v>
      </c>
      <c r="J859" t="s">
        <v>71</v>
      </c>
      <c r="K859" t="s">
        <v>1330</v>
      </c>
    </row>
    <row r="860" spans="1:11">
      <c r="A860" t="s">
        <v>1883</v>
      </c>
      <c r="B860" s="5">
        <v>46205</v>
      </c>
      <c r="C860" t="s">
        <v>1882</v>
      </c>
      <c r="D860" t="s">
        <v>67</v>
      </c>
      <c r="E860" t="s">
        <v>40</v>
      </c>
      <c r="F860" t="s">
        <v>82</v>
      </c>
      <c r="G860" t="s">
        <v>700</v>
      </c>
      <c r="H860" t="s">
        <v>317</v>
      </c>
      <c r="I860" s="6">
        <v>11.5</v>
      </c>
      <c r="J860" t="s">
        <v>71</v>
      </c>
      <c r="K860" t="s">
        <v>1488</v>
      </c>
    </row>
    <row r="861" spans="1:11">
      <c r="A861" t="s">
        <v>1884</v>
      </c>
      <c r="B861" s="5">
        <v>46206</v>
      </c>
      <c r="C861" t="s">
        <v>1882</v>
      </c>
      <c r="D861" t="s">
        <v>67</v>
      </c>
      <c r="E861" t="s">
        <v>40</v>
      </c>
      <c r="F861" t="s">
        <v>82</v>
      </c>
      <c r="G861" t="s">
        <v>700</v>
      </c>
      <c r="H861" t="s">
        <v>317</v>
      </c>
      <c r="I861" s="6">
        <v>8.5</v>
      </c>
      <c r="J861" t="s">
        <v>71</v>
      </c>
      <c r="K861" t="s">
        <v>1490</v>
      </c>
    </row>
    <row r="862" spans="1:11">
      <c r="A862" t="s">
        <v>1885</v>
      </c>
      <c r="B862" s="5">
        <v>46207</v>
      </c>
      <c r="C862" t="s">
        <v>1882</v>
      </c>
      <c r="D862" t="s">
        <v>67</v>
      </c>
      <c r="E862" t="s">
        <v>40</v>
      </c>
      <c r="F862" t="s">
        <v>82</v>
      </c>
      <c r="G862" t="s">
        <v>700</v>
      </c>
      <c r="H862" t="s">
        <v>317</v>
      </c>
      <c r="I862" s="6">
        <v>8.5</v>
      </c>
      <c r="J862" t="s">
        <v>71</v>
      </c>
      <c r="K862" t="s">
        <v>1490</v>
      </c>
    </row>
    <row r="863" spans="1:11">
      <c r="A863" t="s">
        <v>1886</v>
      </c>
      <c r="B863" s="5">
        <v>46208</v>
      </c>
      <c r="C863" t="s">
        <v>1882</v>
      </c>
      <c r="D863" t="s">
        <v>67</v>
      </c>
      <c r="E863" t="s">
        <v>40</v>
      </c>
      <c r="F863" t="s">
        <v>82</v>
      </c>
      <c r="G863" t="s">
        <v>700</v>
      </c>
      <c r="H863" t="s">
        <v>317</v>
      </c>
      <c r="I863" s="6">
        <v>8.5</v>
      </c>
      <c r="J863" t="s">
        <v>71</v>
      </c>
      <c r="K863" t="s">
        <v>1490</v>
      </c>
    </row>
    <row r="864" spans="1:11">
      <c r="A864" t="s">
        <v>1887</v>
      </c>
      <c r="B864" s="5">
        <v>46209</v>
      </c>
      <c r="C864" t="s">
        <v>1882</v>
      </c>
      <c r="D864" t="s">
        <v>67</v>
      </c>
      <c r="E864" t="s">
        <v>40</v>
      </c>
      <c r="F864" t="s">
        <v>82</v>
      </c>
      <c r="G864" t="s">
        <v>700</v>
      </c>
      <c r="H864" t="s">
        <v>317</v>
      </c>
      <c r="I864" s="6">
        <v>11.5</v>
      </c>
      <c r="J864" t="s">
        <v>71</v>
      </c>
      <c r="K864" t="s">
        <v>1488</v>
      </c>
    </row>
    <row r="865" spans="1:11">
      <c r="A865" t="s">
        <v>1888</v>
      </c>
      <c r="B865" s="5">
        <v>46210</v>
      </c>
      <c r="C865" t="s">
        <v>1882</v>
      </c>
      <c r="D865" t="s">
        <v>67</v>
      </c>
      <c r="E865" t="s">
        <v>40</v>
      </c>
      <c r="F865" t="s">
        <v>179</v>
      </c>
      <c r="G865" t="s">
        <v>1527</v>
      </c>
      <c r="H865" t="s">
        <v>418</v>
      </c>
      <c r="I865" s="6">
        <v>13</v>
      </c>
      <c r="J865" t="s">
        <v>71</v>
      </c>
      <c r="K865" t="s">
        <v>1528</v>
      </c>
    </row>
    <row r="866" spans="1:11">
      <c r="A866" t="s">
        <v>1889</v>
      </c>
      <c r="B866" s="5">
        <v>46211</v>
      </c>
      <c r="C866" t="s">
        <v>1882</v>
      </c>
      <c r="D866" t="s">
        <v>67</v>
      </c>
      <c r="E866" t="s">
        <v>40</v>
      </c>
      <c r="F866" t="s">
        <v>82</v>
      </c>
      <c r="G866" t="s">
        <v>1129</v>
      </c>
      <c r="H866" t="s">
        <v>317</v>
      </c>
      <c r="I866" s="6">
        <v>7</v>
      </c>
      <c r="J866" t="s">
        <v>71</v>
      </c>
      <c r="K866" t="s">
        <v>1890</v>
      </c>
    </row>
    <row r="867" spans="1:11">
      <c r="A867" t="s">
        <v>1891</v>
      </c>
      <c r="B867" s="5">
        <v>46212</v>
      </c>
      <c r="C867" t="s">
        <v>1882</v>
      </c>
      <c r="D867" t="s">
        <v>67</v>
      </c>
      <c r="E867" t="s">
        <v>40</v>
      </c>
      <c r="F867" t="s">
        <v>179</v>
      </c>
      <c r="G867" t="s">
        <v>1537</v>
      </c>
      <c r="H867" t="s">
        <v>418</v>
      </c>
      <c r="I867" s="6">
        <v>6.25</v>
      </c>
      <c r="J867" t="s">
        <v>71</v>
      </c>
      <c r="K867" t="s">
        <v>1892</v>
      </c>
    </row>
    <row r="868" spans="1:11">
      <c r="A868" t="s">
        <v>1893</v>
      </c>
      <c r="B868" s="5">
        <v>46213</v>
      </c>
      <c r="C868" t="s">
        <v>1882</v>
      </c>
      <c r="D868" t="s">
        <v>67</v>
      </c>
      <c r="E868" t="s">
        <v>40</v>
      </c>
      <c r="F868" t="s">
        <v>82</v>
      </c>
      <c r="G868" t="s">
        <v>1894</v>
      </c>
      <c r="H868" t="s">
        <v>1895</v>
      </c>
      <c r="I868" s="6">
        <v>8.5</v>
      </c>
      <c r="J868" t="s">
        <v>71</v>
      </c>
      <c r="K868" t="s">
        <v>1896</v>
      </c>
    </row>
    <row r="869" spans="1:11">
      <c r="A869" t="s">
        <v>1897</v>
      </c>
      <c r="B869" s="5">
        <v>46216</v>
      </c>
      <c r="C869" t="s">
        <v>1882</v>
      </c>
      <c r="D869" t="s">
        <v>67</v>
      </c>
      <c r="E869" t="s">
        <v>40</v>
      </c>
      <c r="F869" t="s">
        <v>68</v>
      </c>
      <c r="G869" t="s">
        <v>1537</v>
      </c>
      <c r="H869" t="s">
        <v>418</v>
      </c>
      <c r="I869" s="6">
        <v>8.5</v>
      </c>
      <c r="J869" t="s">
        <v>71</v>
      </c>
      <c r="K869" t="s">
        <v>1898</v>
      </c>
    </row>
    <row r="870" spans="1:11">
      <c r="A870" t="s">
        <v>1899</v>
      </c>
      <c r="B870" s="5">
        <v>46217</v>
      </c>
      <c r="C870" t="s">
        <v>1882</v>
      </c>
      <c r="D870" t="s">
        <v>67</v>
      </c>
      <c r="E870" t="s">
        <v>40</v>
      </c>
      <c r="F870" t="s">
        <v>82</v>
      </c>
      <c r="G870" t="s">
        <v>1142</v>
      </c>
      <c r="H870" t="s">
        <v>302</v>
      </c>
      <c r="I870" s="6">
        <v>6.5</v>
      </c>
      <c r="J870" t="s">
        <v>71</v>
      </c>
      <c r="K870" t="s">
        <v>1900</v>
      </c>
    </row>
    <row r="871" spans="1:11">
      <c r="A871" t="s">
        <v>1901</v>
      </c>
      <c r="B871" s="5">
        <v>46204</v>
      </c>
      <c r="C871" t="s">
        <v>1902</v>
      </c>
      <c r="D871" t="s">
        <v>67</v>
      </c>
      <c r="E871" t="s">
        <v>40</v>
      </c>
      <c r="F871" t="s">
        <v>82</v>
      </c>
      <c r="G871" t="s">
        <v>521</v>
      </c>
      <c r="H871" t="s">
        <v>522</v>
      </c>
      <c r="I871" s="6">
        <v>9</v>
      </c>
      <c r="J871" t="s">
        <v>71</v>
      </c>
      <c r="K871" t="s">
        <v>1113</v>
      </c>
    </row>
    <row r="872" spans="1:11">
      <c r="A872" t="s">
        <v>1903</v>
      </c>
      <c r="B872" s="5">
        <v>46205</v>
      </c>
      <c r="C872" t="s">
        <v>1902</v>
      </c>
      <c r="D872" t="s">
        <v>67</v>
      </c>
      <c r="E872" t="s">
        <v>40</v>
      </c>
      <c r="F872" t="s">
        <v>82</v>
      </c>
      <c r="G872" t="s">
        <v>1115</v>
      </c>
      <c r="H872" t="s">
        <v>1116</v>
      </c>
      <c r="I872" s="6">
        <v>13.75</v>
      </c>
      <c r="J872" t="s">
        <v>95</v>
      </c>
      <c r="K872" t="s">
        <v>1117</v>
      </c>
    </row>
    <row r="873" spans="1:11">
      <c r="A873" t="s">
        <v>1904</v>
      </c>
      <c r="B873" s="5">
        <v>46206</v>
      </c>
      <c r="C873" t="s">
        <v>1902</v>
      </c>
      <c r="D873" t="s">
        <v>67</v>
      </c>
      <c r="E873" t="s">
        <v>40</v>
      </c>
      <c r="F873" t="s">
        <v>82</v>
      </c>
      <c r="G873" t="s">
        <v>1905</v>
      </c>
      <c r="H873" t="s">
        <v>1906</v>
      </c>
      <c r="I873" s="6">
        <v>17.5</v>
      </c>
      <c r="J873" t="s">
        <v>95</v>
      </c>
      <c r="K873" t="s">
        <v>1907</v>
      </c>
    </row>
    <row r="874" spans="1:11">
      <c r="A874" t="s">
        <v>1908</v>
      </c>
      <c r="B874" s="5">
        <v>46207</v>
      </c>
      <c r="C874" t="s">
        <v>1902</v>
      </c>
      <c r="D874" t="s">
        <v>67</v>
      </c>
      <c r="E874" t="s">
        <v>40</v>
      </c>
      <c r="F874" t="s">
        <v>82</v>
      </c>
      <c r="G874" t="s">
        <v>74</v>
      </c>
      <c r="H874" t="s">
        <v>75</v>
      </c>
      <c r="I874" s="6">
        <v>17.5</v>
      </c>
      <c r="J874" t="s">
        <v>71</v>
      </c>
      <c r="K874" t="s">
        <v>1121</v>
      </c>
    </row>
    <row r="875" spans="1:11">
      <c r="A875" t="s">
        <v>1909</v>
      </c>
      <c r="B875" s="5">
        <v>46208</v>
      </c>
      <c r="C875" t="s">
        <v>1902</v>
      </c>
      <c r="D875" t="s">
        <v>67</v>
      </c>
      <c r="E875" t="s">
        <v>40</v>
      </c>
      <c r="F875" t="s">
        <v>82</v>
      </c>
      <c r="G875" t="s">
        <v>74</v>
      </c>
      <c r="H875" t="s">
        <v>75</v>
      </c>
      <c r="I875" s="6">
        <v>17</v>
      </c>
      <c r="J875" t="s">
        <v>71</v>
      </c>
      <c r="K875" t="s">
        <v>1119</v>
      </c>
    </row>
    <row r="876" spans="1:11">
      <c r="A876" t="s">
        <v>1910</v>
      </c>
      <c r="B876" s="5">
        <v>46209</v>
      </c>
      <c r="C876" t="s">
        <v>1902</v>
      </c>
      <c r="D876" t="s">
        <v>67</v>
      </c>
      <c r="E876" t="s">
        <v>40</v>
      </c>
      <c r="F876" t="s">
        <v>82</v>
      </c>
      <c r="G876" t="s">
        <v>74</v>
      </c>
      <c r="H876" t="s">
        <v>75</v>
      </c>
      <c r="I876" s="6">
        <v>11.5</v>
      </c>
      <c r="J876" t="s">
        <v>71</v>
      </c>
      <c r="K876" t="s">
        <v>874</v>
      </c>
    </row>
    <row r="877" spans="1:11">
      <c r="A877" t="s">
        <v>1911</v>
      </c>
      <c r="B877" s="5">
        <v>46210</v>
      </c>
      <c r="C877" t="s">
        <v>1902</v>
      </c>
      <c r="D877" t="s">
        <v>67</v>
      </c>
      <c r="E877" t="s">
        <v>40</v>
      </c>
      <c r="F877" t="s">
        <v>82</v>
      </c>
      <c r="G877" t="s">
        <v>231</v>
      </c>
      <c r="H877" t="s">
        <v>232</v>
      </c>
      <c r="I877" s="6">
        <v>8.5</v>
      </c>
      <c r="J877" t="s">
        <v>71</v>
      </c>
      <c r="K877" t="s">
        <v>1912</v>
      </c>
    </row>
    <row r="878" spans="1:11">
      <c r="A878" t="s">
        <v>1913</v>
      </c>
      <c r="B878" s="5">
        <v>46211</v>
      </c>
      <c r="C878" t="s">
        <v>1902</v>
      </c>
      <c r="D878" t="s">
        <v>67</v>
      </c>
      <c r="E878" t="s">
        <v>40</v>
      </c>
      <c r="F878" t="s">
        <v>82</v>
      </c>
      <c r="G878" t="s">
        <v>231</v>
      </c>
      <c r="H878" t="s">
        <v>232</v>
      </c>
      <c r="I878" s="6">
        <v>8.5</v>
      </c>
      <c r="J878" t="s">
        <v>71</v>
      </c>
      <c r="K878" t="s">
        <v>1912</v>
      </c>
    </row>
    <row r="879" spans="1:11">
      <c r="A879" t="s">
        <v>1914</v>
      </c>
      <c r="B879" s="5">
        <v>46212</v>
      </c>
      <c r="C879" t="s">
        <v>1902</v>
      </c>
      <c r="D879" t="s">
        <v>67</v>
      </c>
      <c r="E879" t="s">
        <v>40</v>
      </c>
      <c r="F879" t="s">
        <v>82</v>
      </c>
      <c r="G879" t="s">
        <v>231</v>
      </c>
      <c r="H879" t="s">
        <v>232</v>
      </c>
      <c r="I879" s="6">
        <v>7.5</v>
      </c>
      <c r="J879" t="s">
        <v>71</v>
      </c>
      <c r="K879" t="s">
        <v>1132</v>
      </c>
    </row>
    <row r="880" spans="1:11">
      <c r="A880" t="s">
        <v>1915</v>
      </c>
      <c r="B880" s="5">
        <v>46213</v>
      </c>
      <c r="C880" t="s">
        <v>1902</v>
      </c>
      <c r="D880" t="s">
        <v>67</v>
      </c>
      <c r="E880" t="s">
        <v>40</v>
      </c>
      <c r="F880" t="s">
        <v>82</v>
      </c>
      <c r="G880" t="s">
        <v>1134</v>
      </c>
      <c r="H880" t="s">
        <v>1135</v>
      </c>
      <c r="I880" s="6">
        <v>8.5</v>
      </c>
      <c r="J880" t="s">
        <v>71</v>
      </c>
      <c r="K880" t="s">
        <v>1136</v>
      </c>
    </row>
    <row r="881" spans="1:11">
      <c r="A881" t="s">
        <v>1916</v>
      </c>
      <c r="B881" s="5">
        <v>46216</v>
      </c>
      <c r="C881" t="s">
        <v>1902</v>
      </c>
      <c r="D881" t="s">
        <v>67</v>
      </c>
      <c r="E881" t="s">
        <v>40</v>
      </c>
      <c r="F881" t="s">
        <v>68</v>
      </c>
      <c r="G881" t="s">
        <v>434</v>
      </c>
      <c r="H881" t="s">
        <v>435</v>
      </c>
      <c r="I881" s="6">
        <v>4.5</v>
      </c>
      <c r="J881" t="s">
        <v>71</v>
      </c>
      <c r="K881" t="s">
        <v>1917</v>
      </c>
    </row>
    <row r="882" spans="1:11">
      <c r="A882" t="s">
        <v>1918</v>
      </c>
      <c r="B882" s="5">
        <v>46217</v>
      </c>
      <c r="C882" t="s">
        <v>1902</v>
      </c>
      <c r="D882" t="s">
        <v>67</v>
      </c>
      <c r="E882" t="s">
        <v>40</v>
      </c>
      <c r="F882" t="s">
        <v>68</v>
      </c>
      <c r="G882" t="s">
        <v>1919</v>
      </c>
      <c r="H882" t="s">
        <v>1920</v>
      </c>
      <c r="I882" s="6">
        <v>8.5</v>
      </c>
      <c r="J882" t="s">
        <v>71</v>
      </c>
      <c r="K882" t="s">
        <v>1921</v>
      </c>
    </row>
    <row r="883" spans="1:11">
      <c r="A883" t="s">
        <v>1922</v>
      </c>
      <c r="B883" s="5">
        <v>46218</v>
      </c>
      <c r="C883" t="s">
        <v>1902</v>
      </c>
      <c r="D883" t="s">
        <v>67</v>
      </c>
      <c r="E883" t="s">
        <v>40</v>
      </c>
      <c r="F883" t="s">
        <v>68</v>
      </c>
      <c r="G883" t="s">
        <v>292</v>
      </c>
      <c r="H883" t="s">
        <v>293</v>
      </c>
      <c r="I883" s="6">
        <v>8.5</v>
      </c>
      <c r="J883" t="s">
        <v>71</v>
      </c>
      <c r="K883" t="s">
        <v>294</v>
      </c>
    </row>
    <row r="884" spans="1:11">
      <c r="A884" t="s">
        <v>1923</v>
      </c>
      <c r="B884" s="5">
        <v>46204</v>
      </c>
      <c r="C884" t="s">
        <v>1924</v>
      </c>
      <c r="D884" t="s">
        <v>67</v>
      </c>
      <c r="E884" t="s">
        <v>40</v>
      </c>
      <c r="F884" t="s">
        <v>179</v>
      </c>
      <c r="G884" t="s">
        <v>1925</v>
      </c>
      <c r="H884" t="s">
        <v>1926</v>
      </c>
      <c r="I884" s="6">
        <v>1</v>
      </c>
      <c r="J884" t="s">
        <v>71</v>
      </c>
      <c r="K884" t="s">
        <v>1927</v>
      </c>
    </row>
    <row r="885" spans="1:11">
      <c r="A885" t="s">
        <v>1928</v>
      </c>
      <c r="B885" s="5">
        <v>46205</v>
      </c>
      <c r="C885" t="s">
        <v>1924</v>
      </c>
      <c r="D885" t="s">
        <v>67</v>
      </c>
      <c r="E885" t="s">
        <v>24</v>
      </c>
      <c r="F885" t="s">
        <v>179</v>
      </c>
      <c r="G885" t="s">
        <v>137</v>
      </c>
      <c r="H885" t="s">
        <v>138</v>
      </c>
      <c r="I885" s="6">
        <v>10.5</v>
      </c>
      <c r="J885" t="s">
        <v>71</v>
      </c>
      <c r="K885" t="s">
        <v>1929</v>
      </c>
    </row>
    <row r="886" spans="1:11">
      <c r="A886" t="s">
        <v>1930</v>
      </c>
      <c r="B886" s="5">
        <v>46206</v>
      </c>
      <c r="C886" t="s">
        <v>1924</v>
      </c>
      <c r="D886" t="s">
        <v>67</v>
      </c>
      <c r="E886" t="s">
        <v>40</v>
      </c>
      <c r="F886" t="s">
        <v>179</v>
      </c>
      <c r="G886" t="s">
        <v>648</v>
      </c>
      <c r="H886" t="s">
        <v>649</v>
      </c>
      <c r="I886" s="6">
        <v>11</v>
      </c>
      <c r="J886" t="s">
        <v>71</v>
      </c>
      <c r="K886" t="s">
        <v>1931</v>
      </c>
    </row>
    <row r="887" spans="1:11">
      <c r="A887" t="s">
        <v>1932</v>
      </c>
      <c r="B887" s="5">
        <v>46209</v>
      </c>
      <c r="C887" t="s">
        <v>1924</v>
      </c>
      <c r="D887" t="s">
        <v>67</v>
      </c>
      <c r="E887" t="s">
        <v>40</v>
      </c>
      <c r="F887" t="s">
        <v>179</v>
      </c>
      <c r="G887" t="s">
        <v>648</v>
      </c>
      <c r="H887" t="s">
        <v>649</v>
      </c>
      <c r="I887" s="6">
        <v>9</v>
      </c>
      <c r="J887" t="s">
        <v>71</v>
      </c>
      <c r="K887" t="s">
        <v>1933</v>
      </c>
    </row>
    <row r="888" spans="1:11">
      <c r="A888" t="s">
        <v>1934</v>
      </c>
      <c r="B888" s="5">
        <v>46210</v>
      </c>
      <c r="C888" t="s">
        <v>1924</v>
      </c>
      <c r="D888" t="s">
        <v>67</v>
      </c>
      <c r="E888" t="s">
        <v>40</v>
      </c>
      <c r="F888" t="s">
        <v>179</v>
      </c>
      <c r="G888" t="s">
        <v>83</v>
      </c>
      <c r="H888" t="s">
        <v>84</v>
      </c>
      <c r="I888" s="6">
        <v>8.5</v>
      </c>
      <c r="J888" t="s">
        <v>71</v>
      </c>
      <c r="K888" t="s">
        <v>1935</v>
      </c>
    </row>
    <row r="889" spans="1:11">
      <c r="A889" t="s">
        <v>1936</v>
      </c>
      <c r="B889" s="5">
        <v>46211</v>
      </c>
      <c r="C889" t="s">
        <v>1924</v>
      </c>
      <c r="D889" t="s">
        <v>67</v>
      </c>
      <c r="E889" t="s">
        <v>40</v>
      </c>
      <c r="F889" t="s">
        <v>179</v>
      </c>
      <c r="G889" t="s">
        <v>83</v>
      </c>
      <c r="H889" t="s">
        <v>84</v>
      </c>
      <c r="I889" s="6">
        <v>11</v>
      </c>
      <c r="J889" t="s">
        <v>71</v>
      </c>
      <c r="K889" t="s">
        <v>1937</v>
      </c>
    </row>
    <row r="890" spans="1:11">
      <c r="A890" t="s">
        <v>1938</v>
      </c>
      <c r="B890" s="5">
        <v>46212</v>
      </c>
      <c r="C890" t="s">
        <v>1924</v>
      </c>
      <c r="D890" t="s">
        <v>67</v>
      </c>
      <c r="E890" t="s">
        <v>40</v>
      </c>
      <c r="F890" t="s">
        <v>179</v>
      </c>
      <c r="G890" t="s">
        <v>89</v>
      </c>
      <c r="H890" t="s">
        <v>90</v>
      </c>
      <c r="I890" s="6">
        <v>8.5</v>
      </c>
      <c r="J890" t="s">
        <v>71</v>
      </c>
      <c r="K890" t="s">
        <v>1939</v>
      </c>
    </row>
    <row r="891" spans="1:11">
      <c r="A891" t="s">
        <v>1940</v>
      </c>
      <c r="B891" s="5">
        <v>46213</v>
      </c>
      <c r="C891" t="s">
        <v>1924</v>
      </c>
      <c r="D891" t="s">
        <v>67</v>
      </c>
      <c r="E891" t="s">
        <v>40</v>
      </c>
      <c r="F891" t="s">
        <v>179</v>
      </c>
      <c r="G891" t="s">
        <v>335</v>
      </c>
      <c r="H891" t="s">
        <v>336</v>
      </c>
      <c r="I891" s="6">
        <v>8</v>
      </c>
      <c r="J891" t="s">
        <v>71</v>
      </c>
      <c r="K891" t="s">
        <v>432</v>
      </c>
    </row>
    <row r="892" spans="1:11">
      <c r="A892" t="s">
        <v>1941</v>
      </c>
      <c r="B892" s="5">
        <v>46215</v>
      </c>
      <c r="C892" t="s">
        <v>1924</v>
      </c>
      <c r="D892" t="s">
        <v>67</v>
      </c>
      <c r="E892" t="s">
        <v>40</v>
      </c>
      <c r="F892" t="s">
        <v>179</v>
      </c>
      <c r="G892" t="s">
        <v>544</v>
      </c>
      <c r="H892" t="s">
        <v>118</v>
      </c>
      <c r="I892" s="6">
        <v>5.5</v>
      </c>
      <c r="J892" t="s">
        <v>71</v>
      </c>
      <c r="K892" t="s">
        <v>1942</v>
      </c>
    </row>
    <row r="893" spans="1:11">
      <c r="A893" t="s">
        <v>1943</v>
      </c>
      <c r="B893" s="5">
        <v>46216</v>
      </c>
      <c r="C893" t="s">
        <v>1924</v>
      </c>
      <c r="D893" t="s">
        <v>67</v>
      </c>
      <c r="E893" t="s">
        <v>40</v>
      </c>
      <c r="F893" t="s">
        <v>68</v>
      </c>
      <c r="G893" t="s">
        <v>171</v>
      </c>
      <c r="H893" t="s">
        <v>172</v>
      </c>
      <c r="I893" s="6">
        <v>12</v>
      </c>
      <c r="J893" t="s">
        <v>71</v>
      </c>
      <c r="K893" t="s">
        <v>173</v>
      </c>
    </row>
    <row r="894" spans="1:11">
      <c r="A894" t="s">
        <v>1944</v>
      </c>
      <c r="B894" s="5">
        <v>46217</v>
      </c>
      <c r="C894" t="s">
        <v>1924</v>
      </c>
      <c r="D894" t="s">
        <v>67</v>
      </c>
      <c r="E894" t="s">
        <v>40</v>
      </c>
      <c r="F894" t="s">
        <v>179</v>
      </c>
      <c r="G894" t="s">
        <v>549</v>
      </c>
      <c r="H894" t="s">
        <v>550</v>
      </c>
      <c r="I894" s="6">
        <v>7</v>
      </c>
      <c r="J894" t="s">
        <v>71</v>
      </c>
      <c r="K894" t="s">
        <v>1811</v>
      </c>
    </row>
    <row r="895" spans="1:11">
      <c r="A895" t="s">
        <v>1945</v>
      </c>
      <c r="B895" s="5">
        <v>46218</v>
      </c>
      <c r="C895" t="s">
        <v>1924</v>
      </c>
      <c r="D895" t="s">
        <v>67</v>
      </c>
      <c r="E895" t="s">
        <v>40</v>
      </c>
      <c r="F895" t="s">
        <v>179</v>
      </c>
      <c r="G895" t="s">
        <v>549</v>
      </c>
      <c r="H895" t="s">
        <v>550</v>
      </c>
      <c r="I895" s="6">
        <v>8</v>
      </c>
      <c r="J895" t="s">
        <v>71</v>
      </c>
      <c r="K895" t="s">
        <v>1813</v>
      </c>
    </row>
    <row r="896" spans="1:11">
      <c r="A896" t="s">
        <v>1946</v>
      </c>
      <c r="B896" s="5">
        <v>46204</v>
      </c>
      <c r="C896" t="s">
        <v>1947</v>
      </c>
      <c r="D896" t="s">
        <v>67</v>
      </c>
      <c r="E896" t="s">
        <v>40</v>
      </c>
      <c r="F896" t="s">
        <v>82</v>
      </c>
      <c r="G896" t="s">
        <v>521</v>
      </c>
      <c r="H896" t="s">
        <v>522</v>
      </c>
      <c r="I896" s="6">
        <v>9</v>
      </c>
      <c r="J896" t="s">
        <v>71</v>
      </c>
      <c r="K896" t="s">
        <v>1113</v>
      </c>
    </row>
    <row r="897" spans="1:11">
      <c r="A897" t="s">
        <v>1948</v>
      </c>
      <c r="B897" s="5">
        <v>46206</v>
      </c>
      <c r="C897" t="s">
        <v>1947</v>
      </c>
      <c r="D897" t="s">
        <v>67</v>
      </c>
      <c r="E897" t="s">
        <v>40</v>
      </c>
      <c r="F897" t="s">
        <v>68</v>
      </c>
      <c r="G897" t="s">
        <v>117</v>
      </c>
      <c r="H897" t="s">
        <v>118</v>
      </c>
      <c r="I897" s="6">
        <v>10</v>
      </c>
      <c r="J897" t="s">
        <v>71</v>
      </c>
      <c r="K897" t="s">
        <v>1949</v>
      </c>
    </row>
    <row r="898" spans="1:11">
      <c r="A898" t="s">
        <v>1950</v>
      </c>
      <c r="B898" s="5">
        <v>46207</v>
      </c>
      <c r="C898" t="s">
        <v>1947</v>
      </c>
      <c r="D898" t="s">
        <v>67</v>
      </c>
      <c r="E898" t="s">
        <v>40</v>
      </c>
      <c r="F898" t="s">
        <v>68</v>
      </c>
      <c r="G898" t="s">
        <v>117</v>
      </c>
      <c r="H898" t="s">
        <v>118</v>
      </c>
      <c r="I898" s="6">
        <v>10.5</v>
      </c>
      <c r="J898" t="s">
        <v>71</v>
      </c>
      <c r="K898" t="s">
        <v>1149</v>
      </c>
    </row>
    <row r="899" spans="1:11">
      <c r="A899" t="s">
        <v>1951</v>
      </c>
      <c r="B899" s="5">
        <v>46208</v>
      </c>
      <c r="C899" t="s">
        <v>1947</v>
      </c>
      <c r="D899" t="s">
        <v>67</v>
      </c>
      <c r="E899" t="s">
        <v>40</v>
      </c>
      <c r="F899" t="s">
        <v>68</v>
      </c>
      <c r="G899" t="s">
        <v>117</v>
      </c>
      <c r="H899" t="s">
        <v>118</v>
      </c>
      <c r="I899" s="6">
        <v>10.5</v>
      </c>
      <c r="J899" t="s">
        <v>71</v>
      </c>
      <c r="K899" t="s">
        <v>1149</v>
      </c>
    </row>
    <row r="900" spans="1:11">
      <c r="A900" t="s">
        <v>1952</v>
      </c>
      <c r="B900" s="5">
        <v>46209</v>
      </c>
      <c r="C900" t="s">
        <v>1947</v>
      </c>
      <c r="D900" t="s">
        <v>67</v>
      </c>
      <c r="E900" t="s">
        <v>40</v>
      </c>
      <c r="F900" t="s">
        <v>82</v>
      </c>
      <c r="G900" t="s">
        <v>74</v>
      </c>
      <c r="H900" t="s">
        <v>75</v>
      </c>
      <c r="I900" s="6">
        <v>11.5</v>
      </c>
      <c r="J900" t="s">
        <v>71</v>
      </c>
      <c r="K900" t="s">
        <v>874</v>
      </c>
    </row>
    <row r="901" spans="1:11">
      <c r="A901" t="s">
        <v>1953</v>
      </c>
      <c r="B901" s="5">
        <v>46210</v>
      </c>
      <c r="C901" t="s">
        <v>1947</v>
      </c>
      <c r="D901" t="s">
        <v>67</v>
      </c>
      <c r="E901" t="s">
        <v>40</v>
      </c>
      <c r="F901" t="s">
        <v>82</v>
      </c>
      <c r="G901" t="s">
        <v>292</v>
      </c>
      <c r="H901" t="s">
        <v>293</v>
      </c>
      <c r="I901" s="6">
        <v>8.5</v>
      </c>
      <c r="J901" t="s">
        <v>71</v>
      </c>
      <c r="K901" t="s">
        <v>723</v>
      </c>
    </row>
    <row r="902" spans="1:11">
      <c r="A902" t="s">
        <v>1954</v>
      </c>
      <c r="B902" s="5">
        <v>46211</v>
      </c>
      <c r="C902" t="s">
        <v>1947</v>
      </c>
      <c r="D902" t="s">
        <v>67</v>
      </c>
      <c r="E902" t="s">
        <v>40</v>
      </c>
      <c r="F902" t="s">
        <v>68</v>
      </c>
      <c r="G902" t="s">
        <v>69</v>
      </c>
      <c r="H902" t="s">
        <v>70</v>
      </c>
      <c r="I902" s="6">
        <v>7.5</v>
      </c>
      <c r="J902" t="s">
        <v>71</v>
      </c>
      <c r="K902" t="s">
        <v>72</v>
      </c>
    </row>
    <row r="903" spans="1:11">
      <c r="A903" t="s">
        <v>1955</v>
      </c>
      <c r="B903" s="5">
        <v>46213</v>
      </c>
      <c r="C903" t="s">
        <v>1947</v>
      </c>
      <c r="D903" t="s">
        <v>67</v>
      </c>
      <c r="E903" t="s">
        <v>40</v>
      </c>
      <c r="F903" t="s">
        <v>68</v>
      </c>
      <c r="G903" t="s">
        <v>544</v>
      </c>
      <c r="H903" t="s">
        <v>118</v>
      </c>
      <c r="I903" s="6">
        <v>9</v>
      </c>
      <c r="J903" t="s">
        <v>71</v>
      </c>
      <c r="K903" t="s">
        <v>845</v>
      </c>
    </row>
    <row r="904" spans="1:11">
      <c r="A904" t="s">
        <v>1956</v>
      </c>
      <c r="B904" s="5">
        <v>46214</v>
      </c>
      <c r="C904" t="s">
        <v>1947</v>
      </c>
      <c r="D904" t="s">
        <v>67</v>
      </c>
      <c r="E904" t="s">
        <v>40</v>
      </c>
      <c r="F904" t="s">
        <v>82</v>
      </c>
      <c r="G904" t="s">
        <v>544</v>
      </c>
      <c r="H904" t="s">
        <v>118</v>
      </c>
      <c r="I904" s="6">
        <v>10.5</v>
      </c>
      <c r="J904" t="s">
        <v>71</v>
      </c>
      <c r="K904" t="s">
        <v>1957</v>
      </c>
    </row>
    <row r="905" spans="1:11">
      <c r="A905" t="s">
        <v>1958</v>
      </c>
      <c r="B905" s="5">
        <v>46215</v>
      </c>
      <c r="C905" t="s">
        <v>1947</v>
      </c>
      <c r="D905" t="s">
        <v>67</v>
      </c>
      <c r="E905" t="s">
        <v>40</v>
      </c>
      <c r="F905" t="s">
        <v>82</v>
      </c>
      <c r="G905" t="s">
        <v>544</v>
      </c>
      <c r="H905" t="s">
        <v>118</v>
      </c>
      <c r="I905" s="6">
        <v>5.5</v>
      </c>
      <c r="J905" t="s">
        <v>71</v>
      </c>
      <c r="K905" t="s">
        <v>1959</v>
      </c>
    </row>
    <row r="906" spans="1:11">
      <c r="A906" t="s">
        <v>1960</v>
      </c>
      <c r="B906" s="5">
        <v>46216</v>
      </c>
      <c r="C906" t="s">
        <v>1947</v>
      </c>
      <c r="D906" t="s">
        <v>67</v>
      </c>
      <c r="E906" t="s">
        <v>40</v>
      </c>
      <c r="F906" t="s">
        <v>68</v>
      </c>
      <c r="G906" t="s">
        <v>102</v>
      </c>
      <c r="H906" t="s">
        <v>103</v>
      </c>
      <c r="I906" s="6">
        <v>8.5</v>
      </c>
      <c r="J906" t="s">
        <v>71</v>
      </c>
      <c r="K906" t="s">
        <v>104</v>
      </c>
    </row>
    <row r="907" spans="1:11">
      <c r="A907" t="s">
        <v>1961</v>
      </c>
      <c r="B907" s="5">
        <v>46217</v>
      </c>
      <c r="C907" t="s">
        <v>1947</v>
      </c>
      <c r="D907" t="s">
        <v>67</v>
      </c>
      <c r="E907" t="s">
        <v>40</v>
      </c>
      <c r="F907" t="s">
        <v>68</v>
      </c>
      <c r="G907" t="s">
        <v>102</v>
      </c>
      <c r="H907" t="s">
        <v>103</v>
      </c>
      <c r="I907" s="6">
        <v>11</v>
      </c>
      <c r="J907" t="s">
        <v>71</v>
      </c>
      <c r="K907" t="s">
        <v>106</v>
      </c>
    </row>
    <row r="908" spans="1:11">
      <c r="A908" t="s">
        <v>1962</v>
      </c>
      <c r="B908" s="5">
        <v>46218</v>
      </c>
      <c r="C908" t="s">
        <v>1947</v>
      </c>
      <c r="D908" t="s">
        <v>67</v>
      </c>
      <c r="E908" t="s">
        <v>40</v>
      </c>
      <c r="F908" t="s">
        <v>68</v>
      </c>
      <c r="G908" t="s">
        <v>102</v>
      </c>
      <c r="H908" t="s">
        <v>103</v>
      </c>
      <c r="I908" s="6">
        <v>8</v>
      </c>
      <c r="J908" t="s">
        <v>71</v>
      </c>
      <c r="K908" t="s">
        <v>108</v>
      </c>
    </row>
    <row r="909" spans="1:11">
      <c r="A909" t="s">
        <v>1963</v>
      </c>
      <c r="B909" s="5">
        <v>46204</v>
      </c>
      <c r="C909" t="s">
        <v>1964</v>
      </c>
      <c r="D909" t="s">
        <v>67</v>
      </c>
      <c r="E909" t="s">
        <v>40</v>
      </c>
      <c r="F909" t="s">
        <v>82</v>
      </c>
      <c r="G909" t="s">
        <v>1032</v>
      </c>
      <c r="H909" t="s">
        <v>317</v>
      </c>
      <c r="I909" s="6">
        <v>10.5</v>
      </c>
      <c r="J909" t="s">
        <v>71</v>
      </c>
      <c r="K909" t="s">
        <v>1085</v>
      </c>
    </row>
    <row r="910" spans="1:11">
      <c r="A910" t="s">
        <v>1965</v>
      </c>
      <c r="B910" s="5">
        <v>46205</v>
      </c>
      <c r="C910" t="s">
        <v>1964</v>
      </c>
      <c r="D910" t="s">
        <v>67</v>
      </c>
      <c r="E910" t="s">
        <v>40</v>
      </c>
      <c r="F910" t="s">
        <v>82</v>
      </c>
      <c r="G910" t="s">
        <v>1032</v>
      </c>
      <c r="H910" t="s">
        <v>317</v>
      </c>
      <c r="I910" s="6">
        <v>10.5</v>
      </c>
      <c r="J910" t="s">
        <v>71</v>
      </c>
      <c r="K910" t="s">
        <v>1085</v>
      </c>
    </row>
    <row r="911" spans="1:11">
      <c r="A911" t="s">
        <v>1966</v>
      </c>
      <c r="B911" s="5">
        <v>46207</v>
      </c>
      <c r="C911" t="s">
        <v>1964</v>
      </c>
      <c r="D911" t="s">
        <v>67</v>
      </c>
      <c r="E911" t="s">
        <v>40</v>
      </c>
      <c r="F911" t="s">
        <v>82</v>
      </c>
      <c r="G911" t="s">
        <v>1032</v>
      </c>
      <c r="H911" t="s">
        <v>317</v>
      </c>
      <c r="I911" s="6">
        <v>6.5</v>
      </c>
      <c r="J911" t="s">
        <v>71</v>
      </c>
      <c r="K911" t="s">
        <v>1548</v>
      </c>
    </row>
    <row r="912" spans="1:11">
      <c r="A912" t="s">
        <v>1967</v>
      </c>
      <c r="B912" s="5">
        <v>46210</v>
      </c>
      <c r="C912" t="s">
        <v>1964</v>
      </c>
      <c r="D912" t="s">
        <v>67</v>
      </c>
      <c r="E912" t="s">
        <v>40</v>
      </c>
      <c r="F912" t="s">
        <v>82</v>
      </c>
      <c r="G912" t="s">
        <v>1032</v>
      </c>
      <c r="H912" t="s">
        <v>317</v>
      </c>
      <c r="I912" s="6">
        <v>10.5</v>
      </c>
      <c r="J912" t="s">
        <v>71</v>
      </c>
      <c r="K912" t="s">
        <v>1085</v>
      </c>
    </row>
    <row r="913" spans="1:11">
      <c r="A913" t="s">
        <v>1968</v>
      </c>
      <c r="B913" s="5">
        <v>46211</v>
      </c>
      <c r="C913" t="s">
        <v>1964</v>
      </c>
      <c r="D913" t="s">
        <v>67</v>
      </c>
      <c r="E913" t="s">
        <v>40</v>
      </c>
      <c r="F913" t="s">
        <v>82</v>
      </c>
      <c r="G913" t="s">
        <v>1032</v>
      </c>
      <c r="H913" t="s">
        <v>317</v>
      </c>
      <c r="I913" s="6">
        <v>10.5</v>
      </c>
      <c r="J913" t="s">
        <v>71</v>
      </c>
      <c r="K913" t="s">
        <v>1085</v>
      </c>
    </row>
    <row r="914" spans="1:11">
      <c r="A914" t="s">
        <v>1969</v>
      </c>
      <c r="B914" s="5">
        <v>46212</v>
      </c>
      <c r="C914" t="s">
        <v>1964</v>
      </c>
      <c r="D914" t="s">
        <v>67</v>
      </c>
      <c r="E914" t="s">
        <v>40</v>
      </c>
      <c r="F914" t="s">
        <v>82</v>
      </c>
      <c r="G914" t="s">
        <v>1032</v>
      </c>
      <c r="H914" t="s">
        <v>317</v>
      </c>
      <c r="I914" s="6">
        <v>10.5</v>
      </c>
      <c r="J914" t="s">
        <v>71</v>
      </c>
      <c r="K914" t="s">
        <v>1085</v>
      </c>
    </row>
    <row r="915" spans="1:11">
      <c r="A915" t="s">
        <v>1970</v>
      </c>
      <c r="B915" s="5">
        <v>46216</v>
      </c>
      <c r="C915" t="s">
        <v>1964</v>
      </c>
      <c r="D915" t="s">
        <v>67</v>
      </c>
      <c r="E915" t="s">
        <v>40</v>
      </c>
      <c r="F915" t="s">
        <v>68</v>
      </c>
      <c r="G915" t="s">
        <v>1032</v>
      </c>
      <c r="H915" t="s">
        <v>317</v>
      </c>
      <c r="I915" s="6">
        <v>8.5</v>
      </c>
      <c r="J915" t="s">
        <v>71</v>
      </c>
      <c r="K915" t="s">
        <v>1033</v>
      </c>
    </row>
    <row r="916" spans="1:11">
      <c r="A916" t="s">
        <v>1971</v>
      </c>
      <c r="B916" s="5">
        <v>46217</v>
      </c>
      <c r="C916" t="s">
        <v>1964</v>
      </c>
      <c r="D916" t="s">
        <v>67</v>
      </c>
      <c r="E916" t="s">
        <v>40</v>
      </c>
      <c r="F916" t="s">
        <v>82</v>
      </c>
      <c r="G916" t="s">
        <v>1032</v>
      </c>
      <c r="H916" t="s">
        <v>317</v>
      </c>
      <c r="I916" s="6">
        <v>10.5</v>
      </c>
      <c r="J916" t="s">
        <v>71</v>
      </c>
      <c r="K916" t="s">
        <v>1085</v>
      </c>
    </row>
    <row r="917" spans="1:11">
      <c r="A917" t="s">
        <v>1972</v>
      </c>
      <c r="B917" s="5">
        <v>46218</v>
      </c>
      <c r="C917" t="s">
        <v>1964</v>
      </c>
      <c r="D917" t="s">
        <v>67</v>
      </c>
      <c r="E917" t="s">
        <v>40</v>
      </c>
      <c r="F917" t="s">
        <v>82</v>
      </c>
      <c r="G917" t="s">
        <v>1032</v>
      </c>
      <c r="H917" t="s">
        <v>317</v>
      </c>
      <c r="I917" s="6">
        <v>10.5</v>
      </c>
      <c r="J917" t="s">
        <v>71</v>
      </c>
      <c r="K917" t="s">
        <v>1085</v>
      </c>
    </row>
    <row r="918" spans="1:11">
      <c r="A918" t="s">
        <v>1973</v>
      </c>
      <c r="B918" s="5">
        <v>46205</v>
      </c>
      <c r="C918" t="s">
        <v>1974</v>
      </c>
      <c r="D918" t="s">
        <v>67</v>
      </c>
      <c r="E918" t="s">
        <v>9</v>
      </c>
      <c r="F918" t="s">
        <v>179</v>
      </c>
      <c r="G918" t="s">
        <v>1975</v>
      </c>
      <c r="H918" t="s">
        <v>1976</v>
      </c>
      <c r="I918" s="6">
        <v>12.5</v>
      </c>
      <c r="J918" t="s">
        <v>95</v>
      </c>
      <c r="K918" t="s">
        <v>1977</v>
      </c>
    </row>
    <row r="919" spans="1:11">
      <c r="A919" t="s">
        <v>1978</v>
      </c>
      <c r="B919" s="5">
        <v>46206</v>
      </c>
      <c r="C919" t="s">
        <v>1974</v>
      </c>
      <c r="D919" t="s">
        <v>67</v>
      </c>
      <c r="E919" t="s">
        <v>1442</v>
      </c>
      <c r="F919" t="s">
        <v>179</v>
      </c>
      <c r="G919" t="s">
        <v>1443</v>
      </c>
      <c r="H919" t="s">
        <v>1444</v>
      </c>
      <c r="I919" s="6">
        <v>8</v>
      </c>
      <c r="J919" t="s">
        <v>95</v>
      </c>
      <c r="K919" t="s">
        <v>1979</v>
      </c>
    </row>
    <row r="920" spans="1:11">
      <c r="A920" t="s">
        <v>1980</v>
      </c>
      <c r="B920" s="5">
        <v>46209</v>
      </c>
      <c r="C920" t="s">
        <v>1974</v>
      </c>
      <c r="D920" t="s">
        <v>67</v>
      </c>
      <c r="E920" t="s">
        <v>26</v>
      </c>
      <c r="F920" t="s">
        <v>179</v>
      </c>
      <c r="G920" t="s">
        <v>763</v>
      </c>
      <c r="H920" t="s">
        <v>764</v>
      </c>
      <c r="I920" s="6">
        <v>9</v>
      </c>
      <c r="J920" t="s">
        <v>71</v>
      </c>
      <c r="K920" t="s">
        <v>1981</v>
      </c>
    </row>
    <row r="921" spans="1:11">
      <c r="A921" t="s">
        <v>1982</v>
      </c>
      <c r="B921" s="5">
        <v>46210</v>
      </c>
      <c r="C921" t="s">
        <v>1974</v>
      </c>
      <c r="D921" t="s">
        <v>67</v>
      </c>
      <c r="E921" t="s">
        <v>26</v>
      </c>
      <c r="F921" t="s">
        <v>179</v>
      </c>
      <c r="G921" t="s">
        <v>763</v>
      </c>
      <c r="H921" t="s">
        <v>764</v>
      </c>
      <c r="I921" s="6">
        <v>8</v>
      </c>
      <c r="J921" t="s">
        <v>71</v>
      </c>
      <c r="K921" t="s">
        <v>1983</v>
      </c>
    </row>
    <row r="922" spans="1:11">
      <c r="A922" t="s">
        <v>1984</v>
      </c>
      <c r="B922" s="5">
        <v>46211</v>
      </c>
      <c r="C922" t="s">
        <v>1974</v>
      </c>
      <c r="D922" t="s">
        <v>67</v>
      </c>
      <c r="E922" t="s">
        <v>26</v>
      </c>
      <c r="F922" t="s">
        <v>179</v>
      </c>
      <c r="G922" t="s">
        <v>763</v>
      </c>
      <c r="H922" t="s">
        <v>764</v>
      </c>
      <c r="I922" s="6">
        <v>9</v>
      </c>
      <c r="J922" t="s">
        <v>71</v>
      </c>
      <c r="K922" t="s">
        <v>1981</v>
      </c>
    </row>
    <row r="923" spans="1:11">
      <c r="A923" t="s">
        <v>1985</v>
      </c>
      <c r="B923" s="5">
        <v>46212</v>
      </c>
      <c r="C923" t="s">
        <v>1974</v>
      </c>
      <c r="D923" t="s">
        <v>67</v>
      </c>
      <c r="E923" t="s">
        <v>26</v>
      </c>
      <c r="F923" t="s">
        <v>179</v>
      </c>
      <c r="G923" t="s">
        <v>763</v>
      </c>
      <c r="H923" t="s">
        <v>764</v>
      </c>
      <c r="I923" s="6">
        <v>8</v>
      </c>
      <c r="J923" t="s">
        <v>71</v>
      </c>
      <c r="K923" t="s">
        <v>1983</v>
      </c>
    </row>
    <row r="924" spans="1:11">
      <c r="A924" t="s">
        <v>1986</v>
      </c>
      <c r="B924" s="5">
        <v>46214</v>
      </c>
      <c r="C924" t="s">
        <v>1974</v>
      </c>
      <c r="D924" t="s">
        <v>67</v>
      </c>
      <c r="E924" t="s">
        <v>40</v>
      </c>
      <c r="F924" t="s">
        <v>179</v>
      </c>
      <c r="G924" t="s">
        <v>1187</v>
      </c>
      <c r="H924" t="s">
        <v>317</v>
      </c>
      <c r="I924" s="6">
        <v>11</v>
      </c>
      <c r="J924" t="s">
        <v>71</v>
      </c>
      <c r="K924" t="s">
        <v>1987</v>
      </c>
    </row>
    <row r="925" spans="1:11">
      <c r="A925" t="s">
        <v>1988</v>
      </c>
      <c r="B925" s="5">
        <v>46218</v>
      </c>
      <c r="C925" t="s">
        <v>1974</v>
      </c>
      <c r="D925" t="s">
        <v>67</v>
      </c>
      <c r="E925" t="s">
        <v>28</v>
      </c>
      <c r="F925" t="s">
        <v>179</v>
      </c>
      <c r="G925" t="s">
        <v>219</v>
      </c>
      <c r="H925" t="s">
        <v>220</v>
      </c>
      <c r="I925" s="6">
        <v>8.5</v>
      </c>
      <c r="J925" t="s">
        <v>71</v>
      </c>
      <c r="K925" t="s">
        <v>1672</v>
      </c>
    </row>
    <row r="926" spans="1:11">
      <c r="A926" t="s">
        <v>1989</v>
      </c>
      <c r="B926" s="5">
        <v>46205</v>
      </c>
      <c r="C926" t="s">
        <v>1990</v>
      </c>
      <c r="D926" t="s">
        <v>67</v>
      </c>
      <c r="E926" t="s">
        <v>40</v>
      </c>
      <c r="F926" t="s">
        <v>82</v>
      </c>
      <c r="G926" t="s">
        <v>1991</v>
      </c>
      <c r="H926" t="s">
        <v>1367</v>
      </c>
      <c r="I926" s="6">
        <v>8</v>
      </c>
      <c r="J926" t="s">
        <v>71</v>
      </c>
      <c r="K926" t="s">
        <v>1992</v>
      </c>
    </row>
    <row r="927" spans="1:11">
      <c r="A927" t="s">
        <v>1993</v>
      </c>
      <c r="B927" s="5">
        <v>46206</v>
      </c>
      <c r="C927" t="s">
        <v>1990</v>
      </c>
      <c r="D927" t="s">
        <v>67</v>
      </c>
      <c r="E927" t="s">
        <v>40</v>
      </c>
      <c r="F927" t="s">
        <v>68</v>
      </c>
      <c r="G927" t="s">
        <v>565</v>
      </c>
      <c r="H927" t="s">
        <v>302</v>
      </c>
      <c r="I927" s="6">
        <v>11.5</v>
      </c>
      <c r="J927" t="s">
        <v>71</v>
      </c>
      <c r="K927" t="s">
        <v>1059</v>
      </c>
    </row>
    <row r="928" spans="1:11">
      <c r="A928" t="s">
        <v>1994</v>
      </c>
      <c r="B928" s="5">
        <v>46212</v>
      </c>
      <c r="C928" t="s">
        <v>1990</v>
      </c>
      <c r="D928" t="s">
        <v>67</v>
      </c>
      <c r="E928" t="s">
        <v>40</v>
      </c>
      <c r="F928" t="s">
        <v>68</v>
      </c>
      <c r="G928" t="s">
        <v>231</v>
      </c>
      <c r="H928" t="s">
        <v>232</v>
      </c>
      <c r="I928" s="6">
        <v>10.5</v>
      </c>
      <c r="J928" t="s">
        <v>71</v>
      </c>
      <c r="K928" t="s">
        <v>297</v>
      </c>
    </row>
    <row r="929" spans="1:11">
      <c r="A929" t="s">
        <v>1995</v>
      </c>
      <c r="B929" s="5">
        <v>46213</v>
      </c>
      <c r="C929" t="s">
        <v>1990</v>
      </c>
      <c r="D929" t="s">
        <v>67</v>
      </c>
      <c r="E929" t="s">
        <v>40</v>
      </c>
      <c r="F929" t="s">
        <v>68</v>
      </c>
      <c r="G929" t="s">
        <v>544</v>
      </c>
      <c r="H929" t="s">
        <v>118</v>
      </c>
      <c r="I929" s="6">
        <v>9</v>
      </c>
      <c r="J929" t="s">
        <v>71</v>
      </c>
      <c r="K929" t="s">
        <v>845</v>
      </c>
    </row>
    <row r="930" spans="1:11">
      <c r="A930" t="s">
        <v>1996</v>
      </c>
      <c r="B930" s="5">
        <v>46204</v>
      </c>
      <c r="C930" t="s">
        <v>1997</v>
      </c>
      <c r="D930" t="s">
        <v>67</v>
      </c>
      <c r="E930" t="s">
        <v>26</v>
      </c>
      <c r="F930" t="s">
        <v>68</v>
      </c>
      <c r="G930" t="s">
        <v>763</v>
      </c>
      <c r="H930" t="s">
        <v>764</v>
      </c>
      <c r="I930" s="6">
        <v>9.5</v>
      </c>
      <c r="J930" t="s">
        <v>71</v>
      </c>
      <c r="K930" t="s">
        <v>1998</v>
      </c>
    </row>
    <row r="931" spans="1:11">
      <c r="A931" t="s">
        <v>1999</v>
      </c>
      <c r="B931" s="5">
        <v>46205</v>
      </c>
      <c r="C931" t="s">
        <v>1997</v>
      </c>
      <c r="D931" t="s">
        <v>67</v>
      </c>
      <c r="E931" t="s">
        <v>26</v>
      </c>
      <c r="F931" t="s">
        <v>68</v>
      </c>
      <c r="G931" t="s">
        <v>763</v>
      </c>
      <c r="H931" t="s">
        <v>764</v>
      </c>
      <c r="I931" s="6">
        <v>8</v>
      </c>
      <c r="J931" t="s">
        <v>71</v>
      </c>
      <c r="K931" t="s">
        <v>1183</v>
      </c>
    </row>
    <row r="932" spans="1:11">
      <c r="A932" t="s">
        <v>2000</v>
      </c>
      <c r="B932" s="5">
        <v>46206</v>
      </c>
      <c r="C932" t="s">
        <v>1997</v>
      </c>
      <c r="D932" t="s">
        <v>67</v>
      </c>
      <c r="E932" t="s">
        <v>26</v>
      </c>
      <c r="F932" t="s">
        <v>179</v>
      </c>
      <c r="G932" t="s">
        <v>1727</v>
      </c>
      <c r="H932" t="s">
        <v>1724</v>
      </c>
      <c r="I932" s="6">
        <v>5</v>
      </c>
      <c r="J932" t="s">
        <v>71</v>
      </c>
      <c r="K932" t="s">
        <v>2001</v>
      </c>
    </row>
    <row r="933" spans="1:11">
      <c r="A933" t="s">
        <v>2002</v>
      </c>
      <c r="B933" s="5">
        <v>46209</v>
      </c>
      <c r="C933" t="s">
        <v>1997</v>
      </c>
      <c r="D933" t="s">
        <v>67</v>
      </c>
      <c r="E933" t="s">
        <v>26</v>
      </c>
      <c r="F933" t="s">
        <v>68</v>
      </c>
      <c r="G933" t="s">
        <v>763</v>
      </c>
      <c r="H933" t="s">
        <v>764</v>
      </c>
      <c r="I933" s="6">
        <v>9</v>
      </c>
      <c r="J933" t="s">
        <v>71</v>
      </c>
      <c r="K933" t="s">
        <v>1181</v>
      </c>
    </row>
    <row r="934" spans="1:11">
      <c r="A934" t="s">
        <v>2003</v>
      </c>
      <c r="B934" s="5">
        <v>46210</v>
      </c>
      <c r="C934" t="s">
        <v>1997</v>
      </c>
      <c r="D934" t="s">
        <v>67</v>
      </c>
      <c r="E934" t="s">
        <v>26</v>
      </c>
      <c r="F934" t="s">
        <v>68</v>
      </c>
      <c r="G934" t="s">
        <v>763</v>
      </c>
      <c r="H934" t="s">
        <v>764</v>
      </c>
      <c r="I934" s="6">
        <v>8</v>
      </c>
      <c r="J934" t="s">
        <v>71</v>
      </c>
      <c r="K934" t="s">
        <v>1183</v>
      </c>
    </row>
    <row r="935" spans="1:11">
      <c r="A935" t="s">
        <v>2004</v>
      </c>
      <c r="B935" s="5">
        <v>46211</v>
      </c>
      <c r="C935" t="s">
        <v>1997</v>
      </c>
      <c r="D935" t="s">
        <v>67</v>
      </c>
      <c r="E935" t="s">
        <v>26</v>
      </c>
      <c r="F935" t="s">
        <v>68</v>
      </c>
      <c r="G935" t="s">
        <v>763</v>
      </c>
      <c r="H935" t="s">
        <v>764</v>
      </c>
      <c r="I935" s="6">
        <v>9</v>
      </c>
      <c r="J935" t="s">
        <v>71</v>
      </c>
      <c r="K935" t="s">
        <v>1181</v>
      </c>
    </row>
    <row r="936" spans="1:11">
      <c r="A936" t="s">
        <v>2005</v>
      </c>
      <c r="B936" s="5">
        <v>46212</v>
      </c>
      <c r="C936" t="s">
        <v>1997</v>
      </c>
      <c r="D936" t="s">
        <v>67</v>
      </c>
      <c r="E936" t="s">
        <v>26</v>
      </c>
      <c r="F936" t="s">
        <v>68</v>
      </c>
      <c r="G936" t="s">
        <v>763</v>
      </c>
      <c r="H936" t="s">
        <v>764</v>
      </c>
      <c r="I936" s="6">
        <v>8</v>
      </c>
      <c r="J936" t="s">
        <v>71</v>
      </c>
      <c r="K936" t="s">
        <v>1183</v>
      </c>
    </row>
    <row r="937" spans="1:11">
      <c r="A937" t="s">
        <v>2006</v>
      </c>
      <c r="B937" s="5">
        <v>46216</v>
      </c>
      <c r="C937" t="s">
        <v>1997</v>
      </c>
      <c r="D937" t="s">
        <v>67</v>
      </c>
      <c r="E937" t="s">
        <v>26</v>
      </c>
      <c r="F937" t="s">
        <v>68</v>
      </c>
      <c r="G937" t="s">
        <v>1241</v>
      </c>
      <c r="H937" t="s">
        <v>1242</v>
      </c>
      <c r="I937" s="6">
        <v>8</v>
      </c>
      <c r="J937" t="s">
        <v>71</v>
      </c>
      <c r="K937" t="s">
        <v>1243</v>
      </c>
    </row>
    <row r="938" spans="1:11">
      <c r="A938" t="s">
        <v>2007</v>
      </c>
      <c r="B938" s="5">
        <v>46217</v>
      </c>
      <c r="C938" t="s">
        <v>1997</v>
      </c>
      <c r="D938" t="s">
        <v>67</v>
      </c>
      <c r="E938" t="s">
        <v>26</v>
      </c>
      <c r="F938" t="s">
        <v>68</v>
      </c>
      <c r="G938" t="s">
        <v>2008</v>
      </c>
      <c r="H938" t="s">
        <v>1224</v>
      </c>
      <c r="I938" s="6">
        <v>8</v>
      </c>
      <c r="J938" t="s">
        <v>71</v>
      </c>
      <c r="K938" t="s">
        <v>2009</v>
      </c>
    </row>
    <row r="939" spans="1:11">
      <c r="A939" t="s">
        <v>2010</v>
      </c>
      <c r="B939" s="5">
        <v>46218</v>
      </c>
      <c r="C939" t="s">
        <v>1997</v>
      </c>
      <c r="D939" t="s">
        <v>67</v>
      </c>
      <c r="E939" t="s">
        <v>1231</v>
      </c>
      <c r="F939" t="s">
        <v>1757</v>
      </c>
      <c r="G939" t="s">
        <v>2011</v>
      </c>
      <c r="H939" t="s">
        <v>2012</v>
      </c>
      <c r="I939" s="6">
        <v>15</v>
      </c>
      <c r="J939" t="s">
        <v>95</v>
      </c>
      <c r="K939" t="s">
        <v>2013</v>
      </c>
    </row>
    <row r="940" spans="1:11">
      <c r="A940" t="s">
        <v>2014</v>
      </c>
      <c r="B940" s="5">
        <v>46217</v>
      </c>
      <c r="C940" t="s">
        <v>2015</v>
      </c>
      <c r="D940" t="s">
        <v>67</v>
      </c>
      <c r="E940" t="s">
        <v>9</v>
      </c>
      <c r="F940" t="s">
        <v>68</v>
      </c>
      <c r="G940" t="s">
        <v>215</v>
      </c>
      <c r="H940" t="s">
        <v>216</v>
      </c>
      <c r="I940" s="6">
        <v>5</v>
      </c>
      <c r="J940" t="s">
        <v>71</v>
      </c>
      <c r="K940" t="s">
        <v>1452</v>
      </c>
    </row>
    <row r="941" spans="1:11">
      <c r="A941" t="s">
        <v>2016</v>
      </c>
      <c r="B941" s="5">
        <v>46218</v>
      </c>
      <c r="C941" t="s">
        <v>2015</v>
      </c>
      <c r="D941" t="s">
        <v>67</v>
      </c>
      <c r="E941" t="s">
        <v>28</v>
      </c>
      <c r="F941" t="s">
        <v>68</v>
      </c>
      <c r="G941" t="s">
        <v>219</v>
      </c>
      <c r="H941" t="s">
        <v>220</v>
      </c>
      <c r="I941" s="6">
        <v>8.5</v>
      </c>
      <c r="J941" t="s">
        <v>71</v>
      </c>
      <c r="K941" t="s">
        <v>221</v>
      </c>
    </row>
    <row r="942" spans="1:11">
      <c r="A942" t="s">
        <v>2017</v>
      </c>
      <c r="B942" s="5">
        <v>46219</v>
      </c>
      <c r="C942" t="s">
        <v>2015</v>
      </c>
      <c r="D942" t="s">
        <v>67</v>
      </c>
      <c r="E942" t="s">
        <v>29</v>
      </c>
      <c r="F942" t="s">
        <v>68</v>
      </c>
      <c r="G942" t="s">
        <v>1652</v>
      </c>
      <c r="H942" t="s">
        <v>753</v>
      </c>
      <c r="I942" s="6">
        <v>4.5</v>
      </c>
      <c r="J942" t="s">
        <v>71</v>
      </c>
      <c r="K942" t="s">
        <v>1653</v>
      </c>
    </row>
    <row r="943" spans="1:11">
      <c r="A943" t="s">
        <v>2018</v>
      </c>
      <c r="B943" s="5">
        <v>46204</v>
      </c>
      <c r="C943" t="s">
        <v>2019</v>
      </c>
      <c r="D943" t="s">
        <v>67</v>
      </c>
      <c r="E943" t="s">
        <v>40</v>
      </c>
      <c r="F943" t="s">
        <v>68</v>
      </c>
      <c r="G943" t="s">
        <v>648</v>
      </c>
      <c r="H943" t="s">
        <v>649</v>
      </c>
      <c r="I943" s="6">
        <v>9</v>
      </c>
      <c r="J943" t="s">
        <v>71</v>
      </c>
      <c r="K943" t="s">
        <v>650</v>
      </c>
    </row>
    <row r="944" spans="1:11">
      <c r="A944" t="s">
        <v>2020</v>
      </c>
      <c r="B944" s="5">
        <v>46205</v>
      </c>
      <c r="C944" t="s">
        <v>2019</v>
      </c>
      <c r="D944" t="s">
        <v>67</v>
      </c>
      <c r="E944" t="s">
        <v>40</v>
      </c>
      <c r="F944" t="s">
        <v>68</v>
      </c>
      <c r="G944" t="s">
        <v>74</v>
      </c>
      <c r="H944" t="s">
        <v>75</v>
      </c>
      <c r="I944" s="6">
        <v>5.5</v>
      </c>
      <c r="J944" t="s">
        <v>71</v>
      </c>
      <c r="K944" t="s">
        <v>76</v>
      </c>
    </row>
    <row r="945" spans="1:11">
      <c r="A945" t="s">
        <v>2021</v>
      </c>
      <c r="B945" s="5">
        <v>46206</v>
      </c>
      <c r="C945" t="s">
        <v>2019</v>
      </c>
      <c r="D945" t="s">
        <v>67</v>
      </c>
      <c r="E945" t="s">
        <v>40</v>
      </c>
      <c r="F945" t="s">
        <v>504</v>
      </c>
      <c r="G945" t="s">
        <v>74</v>
      </c>
      <c r="H945" t="s">
        <v>75</v>
      </c>
      <c r="I945" s="6">
        <v>17</v>
      </c>
      <c r="J945" t="s">
        <v>95</v>
      </c>
      <c r="K945" t="s">
        <v>2022</v>
      </c>
    </row>
    <row r="946" spans="1:11">
      <c r="A946" t="s">
        <v>2023</v>
      </c>
      <c r="B946" s="5">
        <v>46207</v>
      </c>
      <c r="C946" t="s">
        <v>2019</v>
      </c>
      <c r="D946" t="s">
        <v>67</v>
      </c>
      <c r="E946" t="s">
        <v>40</v>
      </c>
      <c r="F946" t="s">
        <v>82</v>
      </c>
      <c r="G946" t="s">
        <v>74</v>
      </c>
      <c r="H946" t="s">
        <v>75</v>
      </c>
      <c r="I946" s="6">
        <v>8.5</v>
      </c>
      <c r="J946" t="s">
        <v>71</v>
      </c>
      <c r="K946" t="s">
        <v>872</v>
      </c>
    </row>
    <row r="947" spans="1:11">
      <c r="A947" t="s">
        <v>2024</v>
      </c>
      <c r="B947" s="5">
        <v>46208</v>
      </c>
      <c r="C947" t="s">
        <v>2019</v>
      </c>
      <c r="D947" t="s">
        <v>67</v>
      </c>
      <c r="E947" t="s">
        <v>40</v>
      </c>
      <c r="F947" t="s">
        <v>82</v>
      </c>
      <c r="G947" t="s">
        <v>74</v>
      </c>
      <c r="H947" t="s">
        <v>75</v>
      </c>
      <c r="I947" s="6">
        <v>8.5</v>
      </c>
      <c r="J947" t="s">
        <v>71</v>
      </c>
      <c r="K947" t="s">
        <v>872</v>
      </c>
    </row>
    <row r="948" spans="1:11">
      <c r="A948" t="s">
        <v>2025</v>
      </c>
      <c r="B948" s="5">
        <v>46209</v>
      </c>
      <c r="C948" t="s">
        <v>2019</v>
      </c>
      <c r="D948" t="s">
        <v>67</v>
      </c>
      <c r="E948" t="s">
        <v>40</v>
      </c>
      <c r="F948" t="s">
        <v>68</v>
      </c>
      <c r="G948" t="s">
        <v>74</v>
      </c>
      <c r="H948" t="s">
        <v>75</v>
      </c>
      <c r="I948" s="6">
        <v>11.5</v>
      </c>
      <c r="J948" t="s">
        <v>71</v>
      </c>
      <c r="K948" t="s">
        <v>80</v>
      </c>
    </row>
    <row r="949" spans="1:11">
      <c r="A949" t="s">
        <v>2026</v>
      </c>
      <c r="B949" s="5">
        <v>46210</v>
      </c>
      <c r="C949" t="s">
        <v>2019</v>
      </c>
      <c r="D949" t="s">
        <v>67</v>
      </c>
      <c r="E949" t="s">
        <v>40</v>
      </c>
      <c r="F949" t="s">
        <v>68</v>
      </c>
      <c r="G949" t="s">
        <v>1705</v>
      </c>
      <c r="H949" t="s">
        <v>1706</v>
      </c>
      <c r="I949" s="6">
        <v>8.5</v>
      </c>
      <c r="J949" t="s">
        <v>71</v>
      </c>
      <c r="K949" t="s">
        <v>2027</v>
      </c>
    </row>
    <row r="950" spans="1:11">
      <c r="A950" t="s">
        <v>2028</v>
      </c>
      <c r="B950" s="5">
        <v>46211</v>
      </c>
      <c r="C950" t="s">
        <v>2019</v>
      </c>
      <c r="D950" t="s">
        <v>67</v>
      </c>
      <c r="E950" t="s">
        <v>40</v>
      </c>
      <c r="F950" t="s">
        <v>68</v>
      </c>
      <c r="G950" t="s">
        <v>162</v>
      </c>
      <c r="H950" t="s">
        <v>163</v>
      </c>
      <c r="I950" s="6">
        <v>7.5</v>
      </c>
      <c r="J950" t="s">
        <v>71</v>
      </c>
      <c r="K950" t="s">
        <v>2029</v>
      </c>
    </row>
    <row r="951" spans="1:11">
      <c r="A951" t="s">
        <v>2030</v>
      </c>
      <c r="B951" s="5">
        <v>46212</v>
      </c>
      <c r="C951" t="s">
        <v>2019</v>
      </c>
      <c r="D951" t="s">
        <v>67</v>
      </c>
      <c r="E951" t="s">
        <v>40</v>
      </c>
      <c r="F951" t="s">
        <v>68</v>
      </c>
      <c r="G951" t="s">
        <v>162</v>
      </c>
      <c r="H951" t="s">
        <v>163</v>
      </c>
      <c r="I951" s="6">
        <v>7.5</v>
      </c>
      <c r="J951" t="s">
        <v>71</v>
      </c>
      <c r="K951" t="s">
        <v>2029</v>
      </c>
    </row>
    <row r="952" spans="1:11">
      <c r="A952" t="s">
        <v>2031</v>
      </c>
      <c r="B952" s="5">
        <v>46213</v>
      </c>
      <c r="C952" t="s">
        <v>2019</v>
      </c>
      <c r="D952" t="s">
        <v>67</v>
      </c>
      <c r="E952" t="s">
        <v>40</v>
      </c>
      <c r="F952" t="s">
        <v>68</v>
      </c>
      <c r="G952" t="s">
        <v>2032</v>
      </c>
      <c r="H952" t="s">
        <v>2033</v>
      </c>
      <c r="I952" s="6">
        <v>15</v>
      </c>
      <c r="J952" t="s">
        <v>95</v>
      </c>
      <c r="K952" t="s">
        <v>2034</v>
      </c>
    </row>
    <row r="953" spans="1:11">
      <c r="A953" t="s">
        <v>2035</v>
      </c>
      <c r="B953" s="5">
        <v>46214</v>
      </c>
      <c r="C953" t="s">
        <v>2019</v>
      </c>
      <c r="D953" t="s">
        <v>67</v>
      </c>
      <c r="E953" t="s">
        <v>40</v>
      </c>
      <c r="F953" t="s">
        <v>82</v>
      </c>
      <c r="G953" t="s">
        <v>98</v>
      </c>
      <c r="H953" t="s">
        <v>99</v>
      </c>
      <c r="I953" s="6">
        <v>8.5</v>
      </c>
      <c r="J953" t="s">
        <v>71</v>
      </c>
      <c r="K953" t="s">
        <v>237</v>
      </c>
    </row>
    <row r="954" spans="1:11">
      <c r="A954" t="s">
        <v>2036</v>
      </c>
      <c r="B954" s="5">
        <v>46216</v>
      </c>
      <c r="C954" t="s">
        <v>2019</v>
      </c>
      <c r="D954" t="s">
        <v>67</v>
      </c>
      <c r="E954" t="s">
        <v>40</v>
      </c>
      <c r="F954" t="s">
        <v>68</v>
      </c>
      <c r="G954" t="s">
        <v>98</v>
      </c>
      <c r="H954" t="s">
        <v>99</v>
      </c>
      <c r="I954" s="6">
        <v>8.5</v>
      </c>
      <c r="J954" t="s">
        <v>71</v>
      </c>
      <c r="K954" t="s">
        <v>100</v>
      </c>
    </row>
    <row r="955" spans="1:11">
      <c r="A955" t="s">
        <v>2037</v>
      </c>
      <c r="B955" s="5">
        <v>46217</v>
      </c>
      <c r="C955" t="s">
        <v>2019</v>
      </c>
      <c r="D955" t="s">
        <v>67</v>
      </c>
      <c r="E955" t="s">
        <v>40</v>
      </c>
      <c r="F955" t="s">
        <v>68</v>
      </c>
      <c r="G955" t="s">
        <v>102</v>
      </c>
      <c r="H955" t="s">
        <v>103</v>
      </c>
      <c r="I955" s="6">
        <v>11</v>
      </c>
      <c r="J955" t="s">
        <v>71</v>
      </c>
      <c r="K955" t="s">
        <v>106</v>
      </c>
    </row>
    <row r="956" spans="1:11">
      <c r="A956" t="s">
        <v>2038</v>
      </c>
      <c r="B956" s="5">
        <v>46218</v>
      </c>
      <c r="C956" t="s">
        <v>2019</v>
      </c>
      <c r="D956" t="s">
        <v>67</v>
      </c>
      <c r="E956" t="s">
        <v>40</v>
      </c>
      <c r="F956" t="s">
        <v>68</v>
      </c>
      <c r="G956" t="s">
        <v>292</v>
      </c>
      <c r="H956" t="s">
        <v>293</v>
      </c>
      <c r="I956" s="6">
        <v>8.5</v>
      </c>
      <c r="J956" t="s">
        <v>71</v>
      </c>
      <c r="K956" t="s">
        <v>294</v>
      </c>
    </row>
    <row r="957" spans="1:11">
      <c r="A957" t="s">
        <v>2039</v>
      </c>
      <c r="B957" s="5">
        <v>46204</v>
      </c>
      <c r="C957" t="s">
        <v>2040</v>
      </c>
      <c r="D957" t="s">
        <v>67</v>
      </c>
      <c r="E957" t="s">
        <v>40</v>
      </c>
      <c r="F957" t="s">
        <v>179</v>
      </c>
      <c r="G957" t="s">
        <v>1677</v>
      </c>
      <c r="H957" t="s">
        <v>1678</v>
      </c>
      <c r="I957" s="6">
        <v>8</v>
      </c>
      <c r="J957" t="s">
        <v>95</v>
      </c>
      <c r="K957" t="s">
        <v>2041</v>
      </c>
    </row>
    <row r="958" spans="1:11">
      <c r="A958" t="s">
        <v>2042</v>
      </c>
      <c r="B958" s="5">
        <v>46205</v>
      </c>
      <c r="C958" t="s">
        <v>2040</v>
      </c>
      <c r="D958" t="s">
        <v>67</v>
      </c>
      <c r="E958" t="s">
        <v>40</v>
      </c>
      <c r="F958" t="s">
        <v>179</v>
      </c>
      <c r="G958" t="s">
        <v>320</v>
      </c>
      <c r="H958" t="s">
        <v>321</v>
      </c>
      <c r="I958" s="6">
        <v>6</v>
      </c>
      <c r="J958" t="s">
        <v>71</v>
      </c>
      <c r="K958" t="s">
        <v>2043</v>
      </c>
    </row>
    <row r="959" spans="1:11">
      <c r="A959" t="s">
        <v>2044</v>
      </c>
      <c r="B959" s="5">
        <v>46206</v>
      </c>
      <c r="C959" t="s">
        <v>2040</v>
      </c>
      <c r="D959" t="s">
        <v>67</v>
      </c>
      <c r="E959" t="s">
        <v>40</v>
      </c>
      <c r="F959" t="s">
        <v>179</v>
      </c>
      <c r="G959" t="s">
        <v>2045</v>
      </c>
      <c r="H959" t="s">
        <v>2046</v>
      </c>
      <c r="I959" s="6">
        <v>7.5</v>
      </c>
      <c r="J959" t="s">
        <v>71</v>
      </c>
      <c r="K959" t="s">
        <v>2047</v>
      </c>
    </row>
    <row r="960" spans="1:11">
      <c r="A960" t="s">
        <v>2048</v>
      </c>
      <c r="B960" s="5">
        <v>46207</v>
      </c>
      <c r="C960" t="s">
        <v>2040</v>
      </c>
      <c r="D960" t="s">
        <v>67</v>
      </c>
      <c r="E960" t="s">
        <v>40</v>
      </c>
      <c r="F960" t="s">
        <v>179</v>
      </c>
      <c r="G960" t="s">
        <v>1032</v>
      </c>
      <c r="H960" t="s">
        <v>317</v>
      </c>
      <c r="I960" s="6">
        <v>5.5</v>
      </c>
      <c r="J960" t="s">
        <v>71</v>
      </c>
      <c r="K960" t="s">
        <v>2049</v>
      </c>
    </row>
    <row r="961" spans="1:11">
      <c r="A961" t="s">
        <v>2050</v>
      </c>
      <c r="B961" s="5">
        <v>46209</v>
      </c>
      <c r="C961" t="s">
        <v>2040</v>
      </c>
      <c r="D961" t="s">
        <v>67</v>
      </c>
      <c r="E961" t="s">
        <v>40</v>
      </c>
      <c r="F961" t="s">
        <v>179</v>
      </c>
      <c r="G961" t="s">
        <v>74</v>
      </c>
      <c r="H961" t="s">
        <v>75</v>
      </c>
      <c r="I961" s="6">
        <v>11.5</v>
      </c>
      <c r="J961" t="s">
        <v>71</v>
      </c>
      <c r="K961" t="s">
        <v>2051</v>
      </c>
    </row>
    <row r="962" spans="1:11">
      <c r="A962" t="s">
        <v>2052</v>
      </c>
      <c r="B962" s="5">
        <v>46210</v>
      </c>
      <c r="C962" t="s">
        <v>2040</v>
      </c>
      <c r="D962" t="s">
        <v>67</v>
      </c>
      <c r="E962" t="s">
        <v>40</v>
      </c>
      <c r="F962" t="s">
        <v>179</v>
      </c>
      <c r="G962" t="s">
        <v>1705</v>
      </c>
      <c r="H962" t="s">
        <v>1706</v>
      </c>
      <c r="I962" s="6">
        <v>8.5</v>
      </c>
      <c r="J962" t="s">
        <v>71</v>
      </c>
      <c r="K962" t="s">
        <v>2053</v>
      </c>
    </row>
    <row r="963" spans="1:11">
      <c r="A963" t="s">
        <v>2054</v>
      </c>
      <c r="B963" s="5">
        <v>46211</v>
      </c>
      <c r="C963" t="s">
        <v>2040</v>
      </c>
      <c r="D963" t="s">
        <v>67</v>
      </c>
      <c r="E963" t="s">
        <v>40</v>
      </c>
      <c r="F963" t="s">
        <v>179</v>
      </c>
      <c r="G963" t="s">
        <v>89</v>
      </c>
      <c r="H963" t="s">
        <v>90</v>
      </c>
      <c r="I963" s="6">
        <v>9.5</v>
      </c>
      <c r="J963" t="s">
        <v>71</v>
      </c>
      <c r="K963" t="s">
        <v>2055</v>
      </c>
    </row>
    <row r="964" spans="1:11">
      <c r="A964" t="s">
        <v>2056</v>
      </c>
      <c r="B964" s="5">
        <v>46212</v>
      </c>
      <c r="C964" t="s">
        <v>2040</v>
      </c>
      <c r="D964" t="s">
        <v>67</v>
      </c>
      <c r="E964" t="s">
        <v>40</v>
      </c>
      <c r="F964" t="s">
        <v>179</v>
      </c>
      <c r="G964" t="s">
        <v>2057</v>
      </c>
      <c r="H964" t="s">
        <v>389</v>
      </c>
      <c r="I964" s="6">
        <v>6.5</v>
      </c>
      <c r="J964" t="s">
        <v>71</v>
      </c>
      <c r="K964" t="s">
        <v>2058</v>
      </c>
    </row>
    <row r="965" spans="1:11">
      <c r="A965" t="s">
        <v>2059</v>
      </c>
      <c r="B965" s="5">
        <v>46213</v>
      </c>
      <c r="C965" t="s">
        <v>2040</v>
      </c>
      <c r="D965" t="s">
        <v>67</v>
      </c>
      <c r="E965" t="s">
        <v>40</v>
      </c>
      <c r="F965" t="s">
        <v>179</v>
      </c>
      <c r="G965" t="s">
        <v>1534</v>
      </c>
      <c r="H965" t="s">
        <v>1325</v>
      </c>
      <c r="I965" s="6">
        <v>7</v>
      </c>
      <c r="J965" t="s">
        <v>71</v>
      </c>
      <c r="K965" t="s">
        <v>2060</v>
      </c>
    </row>
    <row r="966" spans="1:11">
      <c r="A966" t="s">
        <v>2061</v>
      </c>
      <c r="B966" s="5">
        <v>46216</v>
      </c>
      <c r="C966" t="s">
        <v>2040</v>
      </c>
      <c r="D966" t="s">
        <v>67</v>
      </c>
      <c r="E966" t="s">
        <v>40</v>
      </c>
      <c r="F966" t="s">
        <v>179</v>
      </c>
      <c r="G966" t="s">
        <v>2062</v>
      </c>
      <c r="H966" t="s">
        <v>2063</v>
      </c>
      <c r="I966" s="6">
        <v>10.5</v>
      </c>
      <c r="J966" t="s">
        <v>194</v>
      </c>
      <c r="K966" t="s">
        <v>2064</v>
      </c>
    </row>
    <row r="967" spans="1:11">
      <c r="A967" t="s">
        <v>2065</v>
      </c>
      <c r="B967" s="5">
        <v>46217</v>
      </c>
      <c r="C967" t="s">
        <v>2040</v>
      </c>
      <c r="D967" t="s">
        <v>67</v>
      </c>
      <c r="E967" t="s">
        <v>40</v>
      </c>
      <c r="F967" t="s">
        <v>179</v>
      </c>
      <c r="G967" t="s">
        <v>102</v>
      </c>
      <c r="H967" t="s">
        <v>103</v>
      </c>
      <c r="I967" s="6">
        <v>11</v>
      </c>
      <c r="J967" t="s">
        <v>71</v>
      </c>
      <c r="K967" t="s">
        <v>2066</v>
      </c>
    </row>
    <row r="968" spans="1:11">
      <c r="A968" t="s">
        <v>2067</v>
      </c>
      <c r="B968" s="5">
        <v>46218</v>
      </c>
      <c r="C968" t="s">
        <v>2040</v>
      </c>
      <c r="D968" t="s">
        <v>67</v>
      </c>
      <c r="E968" t="s">
        <v>40</v>
      </c>
      <c r="F968" t="s">
        <v>179</v>
      </c>
      <c r="G968" t="s">
        <v>102</v>
      </c>
      <c r="H968" t="s">
        <v>103</v>
      </c>
      <c r="I968" s="6">
        <v>10</v>
      </c>
      <c r="J968" t="s">
        <v>71</v>
      </c>
      <c r="K968" t="s">
        <v>2068</v>
      </c>
    </row>
    <row r="969" spans="1:11">
      <c r="A969" t="s">
        <v>2069</v>
      </c>
      <c r="B969" s="5">
        <v>46204</v>
      </c>
      <c r="C969" t="s">
        <v>2070</v>
      </c>
      <c r="D969" t="s">
        <v>67</v>
      </c>
      <c r="E969" t="s">
        <v>40</v>
      </c>
      <c r="F969" t="s">
        <v>68</v>
      </c>
      <c r="G969" t="s">
        <v>2071</v>
      </c>
      <c r="H969" t="s">
        <v>2072</v>
      </c>
      <c r="I969" s="6">
        <v>10.5</v>
      </c>
      <c r="J969" t="s">
        <v>71</v>
      </c>
      <c r="K969" t="s">
        <v>2073</v>
      </c>
    </row>
    <row r="970" spans="1:11">
      <c r="A970" t="s">
        <v>2074</v>
      </c>
      <c r="B970" s="5">
        <v>46205</v>
      </c>
      <c r="C970" t="s">
        <v>2070</v>
      </c>
      <c r="D970" t="s">
        <v>67</v>
      </c>
      <c r="E970" t="s">
        <v>40</v>
      </c>
      <c r="F970" t="s">
        <v>68</v>
      </c>
      <c r="G970" t="s">
        <v>2071</v>
      </c>
      <c r="H970" t="s">
        <v>2072</v>
      </c>
      <c r="I970" s="6">
        <v>10.5</v>
      </c>
      <c r="J970" t="s">
        <v>71</v>
      </c>
      <c r="K970" t="s">
        <v>2073</v>
      </c>
    </row>
    <row r="971" spans="1:11">
      <c r="A971" t="s">
        <v>2075</v>
      </c>
      <c r="B971" s="5">
        <v>46207</v>
      </c>
      <c r="C971" t="s">
        <v>2070</v>
      </c>
      <c r="D971" t="s">
        <v>67</v>
      </c>
      <c r="E971" t="s">
        <v>40</v>
      </c>
      <c r="F971" t="s">
        <v>68</v>
      </c>
      <c r="G971" t="s">
        <v>74</v>
      </c>
      <c r="H971" t="s">
        <v>75</v>
      </c>
      <c r="I971" s="6">
        <v>9</v>
      </c>
      <c r="J971" t="s">
        <v>71</v>
      </c>
      <c r="K971" t="s">
        <v>2076</v>
      </c>
    </row>
    <row r="972" spans="1:11">
      <c r="A972" t="s">
        <v>2077</v>
      </c>
      <c r="B972" s="5">
        <v>46209</v>
      </c>
      <c r="C972" t="s">
        <v>2070</v>
      </c>
      <c r="D972" t="s">
        <v>67</v>
      </c>
      <c r="E972" t="s">
        <v>40</v>
      </c>
      <c r="F972" t="s">
        <v>68</v>
      </c>
      <c r="G972" t="s">
        <v>2071</v>
      </c>
      <c r="H972" t="s">
        <v>2072</v>
      </c>
      <c r="I972" s="6">
        <v>10.5</v>
      </c>
      <c r="J972" t="s">
        <v>71</v>
      </c>
      <c r="K972" t="s">
        <v>2073</v>
      </c>
    </row>
    <row r="973" spans="1:11">
      <c r="A973" t="s">
        <v>2078</v>
      </c>
      <c r="B973" s="5">
        <v>46210</v>
      </c>
      <c r="C973" t="s">
        <v>2070</v>
      </c>
      <c r="D973" t="s">
        <v>67</v>
      </c>
      <c r="E973" t="s">
        <v>40</v>
      </c>
      <c r="F973" t="s">
        <v>68</v>
      </c>
      <c r="G973" t="s">
        <v>2071</v>
      </c>
      <c r="H973" t="s">
        <v>2072</v>
      </c>
      <c r="I973" s="6">
        <v>10.5</v>
      </c>
      <c r="J973" t="s">
        <v>71</v>
      </c>
      <c r="K973" t="s">
        <v>2073</v>
      </c>
    </row>
    <row r="974" spans="1:11">
      <c r="A974" t="s">
        <v>2079</v>
      </c>
      <c r="B974" s="5">
        <v>46211</v>
      </c>
      <c r="C974" t="s">
        <v>2070</v>
      </c>
      <c r="D974" t="s">
        <v>67</v>
      </c>
      <c r="E974" t="s">
        <v>40</v>
      </c>
      <c r="F974" t="s">
        <v>68</v>
      </c>
      <c r="G974" t="s">
        <v>2071</v>
      </c>
      <c r="H974" t="s">
        <v>2072</v>
      </c>
      <c r="I974" s="6">
        <v>10.5</v>
      </c>
      <c r="J974" t="s">
        <v>71</v>
      </c>
      <c r="K974" t="s">
        <v>2073</v>
      </c>
    </row>
    <row r="975" spans="1:11">
      <c r="A975" t="s">
        <v>2080</v>
      </c>
      <c r="B975" s="5">
        <v>46212</v>
      </c>
      <c r="C975" t="s">
        <v>2070</v>
      </c>
      <c r="D975" t="s">
        <v>67</v>
      </c>
      <c r="E975" t="s">
        <v>40</v>
      </c>
      <c r="F975" t="s">
        <v>68</v>
      </c>
      <c r="G975" t="s">
        <v>2071</v>
      </c>
      <c r="H975" t="s">
        <v>2072</v>
      </c>
      <c r="I975" s="6">
        <v>10.5</v>
      </c>
      <c r="J975" t="s">
        <v>71</v>
      </c>
      <c r="K975" t="s">
        <v>2073</v>
      </c>
    </row>
    <row r="976" spans="1:11">
      <c r="A976" t="s">
        <v>2081</v>
      </c>
      <c r="B976" s="5">
        <v>46213</v>
      </c>
      <c r="C976" t="s">
        <v>2070</v>
      </c>
      <c r="D976" t="s">
        <v>67</v>
      </c>
      <c r="E976" t="s">
        <v>40</v>
      </c>
      <c r="F976" t="s">
        <v>68</v>
      </c>
      <c r="G976" t="s">
        <v>2071</v>
      </c>
      <c r="H976" t="s">
        <v>2072</v>
      </c>
      <c r="I976" s="6">
        <v>10.5</v>
      </c>
      <c r="J976" t="s">
        <v>71</v>
      </c>
      <c r="K976" t="s">
        <v>2073</v>
      </c>
    </row>
    <row r="977" spans="1:11">
      <c r="A977" t="s">
        <v>2082</v>
      </c>
      <c r="B977" s="5">
        <v>46216</v>
      </c>
      <c r="C977" t="s">
        <v>2070</v>
      </c>
      <c r="D977" t="s">
        <v>67</v>
      </c>
      <c r="E977" t="s">
        <v>40</v>
      </c>
      <c r="F977" t="s">
        <v>68</v>
      </c>
      <c r="G977" t="s">
        <v>2071</v>
      </c>
      <c r="H977" t="s">
        <v>2072</v>
      </c>
      <c r="I977" s="6">
        <v>10.5</v>
      </c>
      <c r="J977" t="s">
        <v>71</v>
      </c>
      <c r="K977" t="s">
        <v>2073</v>
      </c>
    </row>
    <row r="978" spans="1:11">
      <c r="A978" t="s">
        <v>2083</v>
      </c>
      <c r="B978" s="5">
        <v>46217</v>
      </c>
      <c r="C978" t="s">
        <v>2070</v>
      </c>
      <c r="D978" t="s">
        <v>67</v>
      </c>
      <c r="E978" t="s">
        <v>40</v>
      </c>
      <c r="F978" t="s">
        <v>68</v>
      </c>
      <c r="G978" t="s">
        <v>2071</v>
      </c>
      <c r="H978" t="s">
        <v>2072</v>
      </c>
      <c r="I978" s="6">
        <v>10.5</v>
      </c>
      <c r="J978" t="s">
        <v>71</v>
      </c>
      <c r="K978" t="s">
        <v>2073</v>
      </c>
    </row>
    <row r="979" spans="1:11">
      <c r="A979" t="s">
        <v>2084</v>
      </c>
      <c r="B979" s="5">
        <v>46218</v>
      </c>
      <c r="C979" t="s">
        <v>2070</v>
      </c>
      <c r="D979" t="s">
        <v>67</v>
      </c>
      <c r="E979" t="s">
        <v>40</v>
      </c>
      <c r="F979" t="s">
        <v>68</v>
      </c>
      <c r="G979" t="s">
        <v>2071</v>
      </c>
      <c r="H979" t="s">
        <v>2072</v>
      </c>
      <c r="I979" s="6">
        <v>10.5</v>
      </c>
      <c r="J979" t="s">
        <v>71</v>
      </c>
      <c r="K979" t="s">
        <v>2073</v>
      </c>
    </row>
    <row r="980" spans="1:11">
      <c r="A980" t="s">
        <v>2085</v>
      </c>
      <c r="B980" s="5">
        <v>46204</v>
      </c>
      <c r="C980" t="s">
        <v>2086</v>
      </c>
      <c r="D980" t="s">
        <v>67</v>
      </c>
      <c r="E980" t="s">
        <v>24</v>
      </c>
      <c r="F980" t="s">
        <v>82</v>
      </c>
      <c r="G980" t="s">
        <v>812</v>
      </c>
      <c r="H980" t="s">
        <v>399</v>
      </c>
      <c r="I980" s="6">
        <v>9</v>
      </c>
      <c r="J980" t="s">
        <v>71</v>
      </c>
      <c r="K980" t="s">
        <v>2087</v>
      </c>
    </row>
    <row r="981" spans="1:11">
      <c r="A981" t="s">
        <v>2088</v>
      </c>
      <c r="B981" s="5">
        <v>46205</v>
      </c>
      <c r="C981" t="s">
        <v>2086</v>
      </c>
      <c r="D981" t="s">
        <v>67</v>
      </c>
      <c r="E981" t="s">
        <v>24</v>
      </c>
      <c r="F981" t="s">
        <v>82</v>
      </c>
      <c r="G981" t="s">
        <v>378</v>
      </c>
      <c r="H981" t="s">
        <v>379</v>
      </c>
      <c r="I981" s="6">
        <v>10.5</v>
      </c>
      <c r="J981" t="s">
        <v>71</v>
      </c>
      <c r="K981" t="s">
        <v>1458</v>
      </c>
    </row>
    <row r="982" spans="1:11">
      <c r="A982" t="s">
        <v>2089</v>
      </c>
      <c r="B982" s="5">
        <v>46206</v>
      </c>
      <c r="C982" t="s">
        <v>2086</v>
      </c>
      <c r="D982" t="s">
        <v>67</v>
      </c>
      <c r="E982" t="s">
        <v>24</v>
      </c>
      <c r="F982" t="s">
        <v>68</v>
      </c>
      <c r="G982" t="s">
        <v>633</v>
      </c>
      <c r="H982" t="s">
        <v>407</v>
      </c>
      <c r="I982" s="6">
        <v>6.5</v>
      </c>
      <c r="J982" t="s">
        <v>71</v>
      </c>
      <c r="K982" t="s">
        <v>817</v>
      </c>
    </row>
    <row r="983" spans="1:11">
      <c r="A983" t="s">
        <v>2090</v>
      </c>
      <c r="B983" s="5">
        <v>46207</v>
      </c>
      <c r="C983" t="s">
        <v>2086</v>
      </c>
      <c r="D983" t="s">
        <v>67</v>
      </c>
      <c r="E983" t="s">
        <v>24</v>
      </c>
      <c r="F983" t="s">
        <v>82</v>
      </c>
      <c r="G983" t="s">
        <v>819</v>
      </c>
      <c r="H983" t="s">
        <v>820</v>
      </c>
      <c r="I983" s="6">
        <v>7.5</v>
      </c>
      <c r="J983" t="s">
        <v>71</v>
      </c>
      <c r="K983" t="s">
        <v>2091</v>
      </c>
    </row>
    <row r="984" spans="1:11">
      <c r="A984" t="s">
        <v>2092</v>
      </c>
      <c r="B984" s="5">
        <v>46216</v>
      </c>
      <c r="C984" t="s">
        <v>2086</v>
      </c>
      <c r="D984" t="s">
        <v>67</v>
      </c>
      <c r="E984" t="s">
        <v>24</v>
      </c>
      <c r="F984" t="s">
        <v>82</v>
      </c>
      <c r="G984" t="s">
        <v>627</v>
      </c>
      <c r="H984" t="s">
        <v>628</v>
      </c>
      <c r="I984" s="6">
        <v>5</v>
      </c>
      <c r="J984" t="s">
        <v>71</v>
      </c>
      <c r="K984" t="s">
        <v>639</v>
      </c>
    </row>
    <row r="985" spans="1:11">
      <c r="A985" t="s">
        <v>2093</v>
      </c>
      <c r="B985" s="5">
        <v>46217</v>
      </c>
      <c r="C985" t="s">
        <v>2086</v>
      </c>
      <c r="D985" t="s">
        <v>67</v>
      </c>
      <c r="E985" t="s">
        <v>24</v>
      </c>
      <c r="F985" t="s">
        <v>68</v>
      </c>
      <c r="G985" t="s">
        <v>633</v>
      </c>
      <c r="H985" t="s">
        <v>407</v>
      </c>
      <c r="I985" s="6">
        <v>7.5</v>
      </c>
      <c r="J985" t="s">
        <v>71</v>
      </c>
      <c r="K985" t="s">
        <v>833</v>
      </c>
    </row>
    <row r="986" spans="1:11">
      <c r="A986" t="s">
        <v>2094</v>
      </c>
      <c r="B986" s="5">
        <v>46218</v>
      </c>
      <c r="C986" t="s">
        <v>2086</v>
      </c>
      <c r="D986" t="s">
        <v>67</v>
      </c>
      <c r="E986" t="s">
        <v>17</v>
      </c>
      <c r="F986" t="s">
        <v>82</v>
      </c>
      <c r="G986" t="s">
        <v>402</v>
      </c>
      <c r="H986" t="s">
        <v>403</v>
      </c>
      <c r="I986" s="6">
        <v>4</v>
      </c>
      <c r="J986" t="s">
        <v>71</v>
      </c>
      <c r="K986" t="s">
        <v>2095</v>
      </c>
    </row>
    <row r="987" spans="1:11">
      <c r="A987" t="s">
        <v>2096</v>
      </c>
      <c r="B987" s="5">
        <v>46204</v>
      </c>
      <c r="C987" t="s">
        <v>2097</v>
      </c>
      <c r="D987" t="s">
        <v>67</v>
      </c>
      <c r="E987" t="s">
        <v>40</v>
      </c>
      <c r="F987" t="s">
        <v>82</v>
      </c>
      <c r="G987" t="s">
        <v>74</v>
      </c>
      <c r="H987" t="s">
        <v>75</v>
      </c>
      <c r="I987" s="6">
        <v>9.5</v>
      </c>
      <c r="J987" t="s">
        <v>71</v>
      </c>
      <c r="K987" t="s">
        <v>1784</v>
      </c>
    </row>
    <row r="988" spans="1:11">
      <c r="A988" t="s">
        <v>2098</v>
      </c>
      <c r="B988" s="5">
        <v>46205</v>
      </c>
      <c r="C988" t="s">
        <v>2097</v>
      </c>
      <c r="D988" t="s">
        <v>67</v>
      </c>
      <c r="E988" t="s">
        <v>40</v>
      </c>
      <c r="F988" t="s">
        <v>82</v>
      </c>
      <c r="G988" t="s">
        <v>74</v>
      </c>
      <c r="H988" t="s">
        <v>75</v>
      </c>
      <c r="I988" s="6">
        <v>5.5</v>
      </c>
      <c r="J988" t="s">
        <v>71</v>
      </c>
      <c r="K988" t="s">
        <v>870</v>
      </c>
    </row>
    <row r="989" spans="1:11">
      <c r="A989" t="s">
        <v>2099</v>
      </c>
      <c r="B989" s="5">
        <v>46206</v>
      </c>
      <c r="C989" t="s">
        <v>2097</v>
      </c>
      <c r="D989" t="s">
        <v>67</v>
      </c>
      <c r="E989" t="s">
        <v>40</v>
      </c>
      <c r="F989" t="s">
        <v>82</v>
      </c>
      <c r="G989" t="s">
        <v>74</v>
      </c>
      <c r="H989" t="s">
        <v>75</v>
      </c>
      <c r="I989" s="6">
        <v>8.5</v>
      </c>
      <c r="J989" t="s">
        <v>71</v>
      </c>
      <c r="K989" t="s">
        <v>872</v>
      </c>
    </row>
    <row r="990" spans="1:11">
      <c r="A990" t="s">
        <v>2100</v>
      </c>
      <c r="B990" s="5">
        <v>46207</v>
      </c>
      <c r="C990" t="s">
        <v>2097</v>
      </c>
      <c r="D990" t="s">
        <v>67</v>
      </c>
      <c r="E990" t="s">
        <v>40</v>
      </c>
      <c r="F990" t="s">
        <v>82</v>
      </c>
      <c r="G990" t="s">
        <v>74</v>
      </c>
      <c r="H990" t="s">
        <v>75</v>
      </c>
      <c r="I990" s="6">
        <v>8.5</v>
      </c>
      <c r="J990" t="s">
        <v>71</v>
      </c>
      <c r="K990" t="s">
        <v>872</v>
      </c>
    </row>
    <row r="991" spans="1:11">
      <c r="A991" t="s">
        <v>2101</v>
      </c>
      <c r="B991" s="5">
        <v>46208</v>
      </c>
      <c r="C991" t="s">
        <v>2097</v>
      </c>
      <c r="D991" t="s">
        <v>67</v>
      </c>
      <c r="E991" t="s">
        <v>40</v>
      </c>
      <c r="F991" t="s">
        <v>82</v>
      </c>
      <c r="G991" t="s">
        <v>74</v>
      </c>
      <c r="H991" t="s">
        <v>75</v>
      </c>
      <c r="I991" s="6">
        <v>8.5</v>
      </c>
      <c r="J991" t="s">
        <v>71</v>
      </c>
      <c r="K991" t="s">
        <v>872</v>
      </c>
    </row>
    <row r="992" spans="1:11">
      <c r="A992" t="s">
        <v>2102</v>
      </c>
      <c r="B992" s="5">
        <v>46211</v>
      </c>
      <c r="C992" t="s">
        <v>2097</v>
      </c>
      <c r="D992" t="s">
        <v>67</v>
      </c>
      <c r="E992" t="s">
        <v>40</v>
      </c>
      <c r="F992" t="s">
        <v>82</v>
      </c>
      <c r="G992" t="s">
        <v>74</v>
      </c>
      <c r="H992" t="s">
        <v>75</v>
      </c>
      <c r="I992" s="6">
        <v>10</v>
      </c>
      <c r="J992" t="s">
        <v>71</v>
      </c>
      <c r="K992" t="s">
        <v>876</v>
      </c>
    </row>
    <row r="993" spans="1:11">
      <c r="A993" t="s">
        <v>2103</v>
      </c>
      <c r="B993" s="5">
        <v>46212</v>
      </c>
      <c r="C993" t="s">
        <v>2097</v>
      </c>
      <c r="D993" t="s">
        <v>67</v>
      </c>
      <c r="E993" t="s">
        <v>40</v>
      </c>
      <c r="F993" t="s">
        <v>82</v>
      </c>
      <c r="G993" t="s">
        <v>74</v>
      </c>
      <c r="H993" t="s">
        <v>75</v>
      </c>
      <c r="I993" s="6">
        <v>9.5</v>
      </c>
      <c r="J993" t="s">
        <v>71</v>
      </c>
      <c r="K993" t="s">
        <v>1784</v>
      </c>
    </row>
    <row r="994" spans="1:11">
      <c r="A994" t="s">
        <v>2104</v>
      </c>
      <c r="B994" s="5">
        <v>46213</v>
      </c>
      <c r="C994" t="s">
        <v>2097</v>
      </c>
      <c r="D994" t="s">
        <v>67</v>
      </c>
      <c r="E994" t="s">
        <v>40</v>
      </c>
      <c r="F994" t="s">
        <v>82</v>
      </c>
      <c r="G994" t="s">
        <v>74</v>
      </c>
      <c r="H994" t="s">
        <v>75</v>
      </c>
      <c r="I994" s="6">
        <v>9.5</v>
      </c>
      <c r="J994" t="s">
        <v>71</v>
      </c>
      <c r="K994" t="s">
        <v>1784</v>
      </c>
    </row>
    <row r="995" spans="1:11">
      <c r="A995" t="s">
        <v>2105</v>
      </c>
      <c r="B995" s="5">
        <v>46216</v>
      </c>
      <c r="C995" t="s">
        <v>2097</v>
      </c>
      <c r="D995" t="s">
        <v>67</v>
      </c>
      <c r="E995" t="s">
        <v>40</v>
      </c>
      <c r="F995" t="s">
        <v>82</v>
      </c>
      <c r="G995" t="s">
        <v>292</v>
      </c>
      <c r="H995" t="s">
        <v>293</v>
      </c>
      <c r="I995" s="6">
        <v>9.5</v>
      </c>
      <c r="J995" t="s">
        <v>71</v>
      </c>
      <c r="K995" t="s">
        <v>2106</v>
      </c>
    </row>
    <row r="996" spans="1:11">
      <c r="A996" t="s">
        <v>2107</v>
      </c>
      <c r="B996" s="5">
        <v>46217</v>
      </c>
      <c r="C996" t="s">
        <v>2097</v>
      </c>
      <c r="D996" t="s">
        <v>67</v>
      </c>
      <c r="E996" t="s">
        <v>40</v>
      </c>
      <c r="F996" t="s">
        <v>68</v>
      </c>
      <c r="G996" t="s">
        <v>292</v>
      </c>
      <c r="H996" t="s">
        <v>293</v>
      </c>
      <c r="I996" s="6">
        <v>8.5</v>
      </c>
      <c r="J996" t="s">
        <v>71</v>
      </c>
      <c r="K996" t="s">
        <v>294</v>
      </c>
    </row>
    <row r="997" spans="1:11">
      <c r="A997" t="s">
        <v>2108</v>
      </c>
      <c r="B997" s="5">
        <v>46218</v>
      </c>
      <c r="C997" t="s">
        <v>2097</v>
      </c>
      <c r="D997" t="s">
        <v>67</v>
      </c>
      <c r="E997" t="s">
        <v>40</v>
      </c>
      <c r="F997" t="s">
        <v>68</v>
      </c>
      <c r="G997" t="s">
        <v>292</v>
      </c>
      <c r="H997" t="s">
        <v>293</v>
      </c>
      <c r="I997" s="6">
        <v>8.5</v>
      </c>
      <c r="J997" t="s">
        <v>71</v>
      </c>
      <c r="K997" t="s">
        <v>294</v>
      </c>
    </row>
    <row r="998" spans="1:11">
      <c r="A998" t="s">
        <v>2109</v>
      </c>
      <c r="B998" s="5">
        <v>46204</v>
      </c>
      <c r="C998" t="s">
        <v>2110</v>
      </c>
      <c r="D998" t="s">
        <v>67</v>
      </c>
      <c r="E998" t="s">
        <v>24</v>
      </c>
      <c r="F998" t="s">
        <v>82</v>
      </c>
      <c r="G998" t="s">
        <v>812</v>
      </c>
      <c r="H998" t="s">
        <v>399</v>
      </c>
      <c r="I998" s="6">
        <v>9</v>
      </c>
      <c r="J998" t="s">
        <v>71</v>
      </c>
      <c r="K998" t="s">
        <v>2087</v>
      </c>
    </row>
    <row r="999" spans="1:11">
      <c r="A999" t="s">
        <v>2111</v>
      </c>
      <c r="B999" s="5">
        <v>46205</v>
      </c>
      <c r="C999" t="s">
        <v>2110</v>
      </c>
      <c r="D999" t="s">
        <v>67</v>
      </c>
      <c r="E999" t="s">
        <v>24</v>
      </c>
      <c r="F999" t="s">
        <v>82</v>
      </c>
      <c r="G999" t="s">
        <v>812</v>
      </c>
      <c r="H999" t="s">
        <v>399</v>
      </c>
      <c r="I999" s="6">
        <v>6.5</v>
      </c>
      <c r="J999" t="s">
        <v>71</v>
      </c>
      <c r="K999" t="s">
        <v>2112</v>
      </c>
    </row>
    <row r="1000" spans="1:11">
      <c r="A1000" t="s">
        <v>2113</v>
      </c>
      <c r="B1000" s="5">
        <v>46206</v>
      </c>
      <c r="C1000" t="s">
        <v>2110</v>
      </c>
      <c r="D1000" t="s">
        <v>67</v>
      </c>
      <c r="E1000" t="s">
        <v>24</v>
      </c>
      <c r="F1000" t="s">
        <v>82</v>
      </c>
      <c r="G1000" t="s">
        <v>812</v>
      </c>
      <c r="H1000" t="s">
        <v>399</v>
      </c>
      <c r="I1000" s="6">
        <v>6</v>
      </c>
      <c r="J1000" t="s">
        <v>71</v>
      </c>
      <c r="K1000" t="s">
        <v>2114</v>
      </c>
    </row>
    <row r="1001" spans="1:11">
      <c r="A1001" t="s">
        <v>2115</v>
      </c>
      <c r="B1001" s="5">
        <v>46207</v>
      </c>
      <c r="C1001" t="s">
        <v>2110</v>
      </c>
      <c r="D1001" t="s">
        <v>67</v>
      </c>
      <c r="E1001" t="s">
        <v>24</v>
      </c>
      <c r="F1001" t="s">
        <v>82</v>
      </c>
      <c r="G1001" t="s">
        <v>819</v>
      </c>
      <c r="H1001" t="s">
        <v>820</v>
      </c>
      <c r="I1001" s="6">
        <v>7.5</v>
      </c>
      <c r="J1001" t="s">
        <v>71</v>
      </c>
      <c r="K1001" t="s">
        <v>2091</v>
      </c>
    </row>
    <row r="1002" spans="1:11">
      <c r="A1002" t="s">
        <v>2116</v>
      </c>
      <c r="B1002" s="5">
        <v>46216</v>
      </c>
      <c r="C1002" t="s">
        <v>2110</v>
      </c>
      <c r="D1002" t="s">
        <v>67</v>
      </c>
      <c r="E1002" t="s">
        <v>24</v>
      </c>
      <c r="F1002" t="s">
        <v>82</v>
      </c>
      <c r="G1002" t="s">
        <v>627</v>
      </c>
      <c r="H1002" t="s">
        <v>628</v>
      </c>
      <c r="I1002" s="6">
        <v>5</v>
      </c>
      <c r="J1002" t="s">
        <v>71</v>
      </c>
      <c r="K1002" t="s">
        <v>639</v>
      </c>
    </row>
    <row r="1003" spans="1:11">
      <c r="A1003" t="s">
        <v>2117</v>
      </c>
      <c r="B1003" s="5">
        <v>46217</v>
      </c>
      <c r="C1003" t="s">
        <v>2110</v>
      </c>
      <c r="D1003" t="s">
        <v>67</v>
      </c>
      <c r="E1003" t="s">
        <v>24</v>
      </c>
      <c r="F1003" t="s">
        <v>68</v>
      </c>
      <c r="G1003" t="s">
        <v>633</v>
      </c>
      <c r="H1003" t="s">
        <v>407</v>
      </c>
      <c r="I1003" s="6">
        <v>7.5</v>
      </c>
      <c r="J1003" t="s">
        <v>71</v>
      </c>
      <c r="K1003" t="s">
        <v>833</v>
      </c>
    </row>
    <row r="1004" spans="1:11">
      <c r="A1004" t="s">
        <v>2118</v>
      </c>
      <c r="B1004" s="5">
        <v>46218</v>
      </c>
      <c r="C1004" t="s">
        <v>2110</v>
      </c>
      <c r="D1004" t="s">
        <v>67</v>
      </c>
      <c r="E1004" t="s">
        <v>24</v>
      </c>
      <c r="F1004" t="s">
        <v>68</v>
      </c>
      <c r="G1004" t="s">
        <v>2119</v>
      </c>
      <c r="H1004" t="s">
        <v>2120</v>
      </c>
      <c r="I1004" s="6">
        <v>3</v>
      </c>
      <c r="J1004" t="s">
        <v>71</v>
      </c>
      <c r="K1004" t="s">
        <v>2121</v>
      </c>
    </row>
    <row r="1005" spans="1:11">
      <c r="A1005" t="s">
        <v>2122</v>
      </c>
      <c r="B1005" s="5">
        <v>46204</v>
      </c>
      <c r="C1005" t="s">
        <v>2123</v>
      </c>
      <c r="D1005" t="s">
        <v>67</v>
      </c>
      <c r="E1005" t="s">
        <v>40</v>
      </c>
      <c r="F1005" t="s">
        <v>82</v>
      </c>
      <c r="G1005" t="s">
        <v>521</v>
      </c>
      <c r="H1005" t="s">
        <v>522</v>
      </c>
      <c r="I1005" s="6">
        <v>9</v>
      </c>
      <c r="J1005" t="s">
        <v>71</v>
      </c>
      <c r="K1005" t="s">
        <v>1113</v>
      </c>
    </row>
    <row r="1006" spans="1:11">
      <c r="A1006" t="s">
        <v>2124</v>
      </c>
      <c r="B1006" s="5">
        <v>46205</v>
      </c>
      <c r="C1006" t="s">
        <v>2123</v>
      </c>
      <c r="D1006" t="s">
        <v>67</v>
      </c>
      <c r="E1006" t="s">
        <v>40</v>
      </c>
      <c r="F1006" t="s">
        <v>68</v>
      </c>
      <c r="G1006" t="s">
        <v>700</v>
      </c>
      <c r="H1006" t="s">
        <v>317</v>
      </c>
      <c r="I1006" s="6">
        <v>11.5</v>
      </c>
      <c r="J1006" t="s">
        <v>71</v>
      </c>
      <c r="K1006" t="s">
        <v>1373</v>
      </c>
    </row>
    <row r="1007" spans="1:11">
      <c r="A1007" t="s">
        <v>2125</v>
      </c>
      <c r="B1007" s="5">
        <v>46206</v>
      </c>
      <c r="C1007" t="s">
        <v>2123</v>
      </c>
      <c r="D1007" t="s">
        <v>67</v>
      </c>
      <c r="E1007" t="s">
        <v>40</v>
      </c>
      <c r="F1007" t="s">
        <v>68</v>
      </c>
      <c r="G1007" t="s">
        <v>700</v>
      </c>
      <c r="H1007" t="s">
        <v>317</v>
      </c>
      <c r="I1007" s="6">
        <v>8.5</v>
      </c>
      <c r="J1007" t="s">
        <v>71</v>
      </c>
      <c r="K1007" t="s">
        <v>1375</v>
      </c>
    </row>
    <row r="1008" spans="1:11">
      <c r="A1008" t="s">
        <v>2126</v>
      </c>
      <c r="B1008" s="5">
        <v>46207</v>
      </c>
      <c r="C1008" t="s">
        <v>2123</v>
      </c>
      <c r="D1008" t="s">
        <v>67</v>
      </c>
      <c r="E1008" t="s">
        <v>40</v>
      </c>
      <c r="F1008" t="s">
        <v>68</v>
      </c>
      <c r="G1008" t="s">
        <v>700</v>
      </c>
      <c r="H1008" t="s">
        <v>317</v>
      </c>
      <c r="I1008" s="6">
        <v>8.5</v>
      </c>
      <c r="J1008" t="s">
        <v>71</v>
      </c>
      <c r="K1008" t="s">
        <v>1375</v>
      </c>
    </row>
    <row r="1009" spans="1:11">
      <c r="A1009" t="s">
        <v>2127</v>
      </c>
      <c r="B1009" s="5">
        <v>46208</v>
      </c>
      <c r="C1009" t="s">
        <v>2123</v>
      </c>
      <c r="D1009" t="s">
        <v>67</v>
      </c>
      <c r="E1009" t="s">
        <v>40</v>
      </c>
      <c r="F1009" t="s">
        <v>68</v>
      </c>
      <c r="G1009" t="s">
        <v>700</v>
      </c>
      <c r="H1009" t="s">
        <v>317</v>
      </c>
      <c r="I1009" s="6">
        <v>8.5</v>
      </c>
      <c r="J1009" t="s">
        <v>71</v>
      </c>
      <c r="K1009" t="s">
        <v>1375</v>
      </c>
    </row>
    <row r="1010" spans="1:11">
      <c r="A1010" t="s">
        <v>2128</v>
      </c>
      <c r="B1010" s="5">
        <v>46209</v>
      </c>
      <c r="C1010" t="s">
        <v>2123</v>
      </c>
      <c r="D1010" t="s">
        <v>67</v>
      </c>
      <c r="E1010" t="s">
        <v>40</v>
      </c>
      <c r="F1010" t="s">
        <v>68</v>
      </c>
      <c r="G1010" t="s">
        <v>700</v>
      </c>
      <c r="H1010" t="s">
        <v>317</v>
      </c>
      <c r="I1010" s="6">
        <v>11.5</v>
      </c>
      <c r="J1010" t="s">
        <v>71</v>
      </c>
      <c r="K1010" t="s">
        <v>1373</v>
      </c>
    </row>
    <row r="1011" spans="1:11">
      <c r="A1011" t="s">
        <v>2129</v>
      </c>
      <c r="B1011" s="5">
        <v>46210</v>
      </c>
      <c r="C1011" t="s">
        <v>2123</v>
      </c>
      <c r="D1011" t="s">
        <v>67</v>
      </c>
      <c r="E1011" t="s">
        <v>40</v>
      </c>
      <c r="F1011" t="s">
        <v>82</v>
      </c>
      <c r="G1011" t="s">
        <v>124</v>
      </c>
      <c r="H1011" t="s">
        <v>125</v>
      </c>
      <c r="I1011" s="6">
        <v>8</v>
      </c>
      <c r="J1011" t="s">
        <v>71</v>
      </c>
      <c r="K1011" t="s">
        <v>128</v>
      </c>
    </row>
    <row r="1012" spans="1:11">
      <c r="A1012" t="s">
        <v>2130</v>
      </c>
      <c r="B1012" s="5">
        <v>46211</v>
      </c>
      <c r="C1012" t="s">
        <v>2123</v>
      </c>
      <c r="D1012" t="s">
        <v>67</v>
      </c>
      <c r="E1012" t="s">
        <v>40</v>
      </c>
      <c r="F1012" t="s">
        <v>82</v>
      </c>
      <c r="G1012" t="s">
        <v>158</v>
      </c>
      <c r="H1012" t="s">
        <v>159</v>
      </c>
      <c r="I1012" s="6">
        <v>8</v>
      </c>
      <c r="J1012" t="s">
        <v>71</v>
      </c>
      <c r="K1012" t="s">
        <v>2131</v>
      </c>
    </row>
    <row r="1013" spans="1:11">
      <c r="A1013" t="s">
        <v>2132</v>
      </c>
      <c r="B1013" s="5">
        <v>46212</v>
      </c>
      <c r="C1013" t="s">
        <v>2123</v>
      </c>
      <c r="D1013" t="s">
        <v>67</v>
      </c>
      <c r="E1013" t="s">
        <v>40</v>
      </c>
      <c r="F1013" t="s">
        <v>82</v>
      </c>
      <c r="G1013" t="s">
        <v>2133</v>
      </c>
      <c r="H1013" t="s">
        <v>2134</v>
      </c>
      <c r="I1013" s="6">
        <v>5.5</v>
      </c>
      <c r="J1013" t="s">
        <v>71</v>
      </c>
      <c r="K1013" t="s">
        <v>2135</v>
      </c>
    </row>
    <row r="1014" spans="1:11">
      <c r="A1014" t="s">
        <v>2136</v>
      </c>
      <c r="B1014" s="5">
        <v>46213</v>
      </c>
      <c r="C1014" t="s">
        <v>2123</v>
      </c>
      <c r="D1014" t="s">
        <v>67</v>
      </c>
      <c r="E1014" t="s">
        <v>40</v>
      </c>
      <c r="F1014" t="s">
        <v>82</v>
      </c>
      <c r="G1014" t="s">
        <v>544</v>
      </c>
      <c r="H1014" t="s">
        <v>118</v>
      </c>
      <c r="I1014" s="6">
        <v>9</v>
      </c>
      <c r="J1014" t="s">
        <v>71</v>
      </c>
      <c r="K1014" t="s">
        <v>2137</v>
      </c>
    </row>
    <row r="1015" spans="1:11">
      <c r="A1015" t="s">
        <v>2138</v>
      </c>
      <c r="B1015" s="5">
        <v>46214</v>
      </c>
      <c r="C1015" t="s">
        <v>2123</v>
      </c>
      <c r="D1015" t="s">
        <v>67</v>
      </c>
      <c r="E1015" t="s">
        <v>40</v>
      </c>
      <c r="F1015" t="s">
        <v>82</v>
      </c>
      <c r="G1015" t="s">
        <v>544</v>
      </c>
      <c r="H1015" t="s">
        <v>118</v>
      </c>
      <c r="I1015" s="6">
        <v>10.5</v>
      </c>
      <c r="J1015" t="s">
        <v>71</v>
      </c>
      <c r="K1015" t="s">
        <v>1957</v>
      </c>
    </row>
    <row r="1016" spans="1:11">
      <c r="A1016" t="s">
        <v>2139</v>
      </c>
      <c r="B1016" s="5">
        <v>46215</v>
      </c>
      <c r="C1016" t="s">
        <v>2123</v>
      </c>
      <c r="D1016" t="s">
        <v>67</v>
      </c>
      <c r="E1016" t="s">
        <v>40</v>
      </c>
      <c r="F1016" t="s">
        <v>82</v>
      </c>
      <c r="G1016" t="s">
        <v>544</v>
      </c>
      <c r="H1016" t="s">
        <v>118</v>
      </c>
      <c r="I1016" s="6">
        <v>5.5</v>
      </c>
      <c r="J1016" t="s">
        <v>71</v>
      </c>
      <c r="K1016" t="s">
        <v>1959</v>
      </c>
    </row>
    <row r="1017" spans="1:11">
      <c r="A1017" t="s">
        <v>2140</v>
      </c>
      <c r="B1017" s="5">
        <v>46217</v>
      </c>
      <c r="C1017" t="s">
        <v>2123</v>
      </c>
      <c r="D1017" t="s">
        <v>67</v>
      </c>
      <c r="E1017" t="s">
        <v>40</v>
      </c>
      <c r="F1017" t="s">
        <v>68</v>
      </c>
      <c r="G1017" t="s">
        <v>1366</v>
      </c>
      <c r="H1017" t="s">
        <v>1367</v>
      </c>
      <c r="I1017" s="6">
        <v>8.5</v>
      </c>
      <c r="J1017" t="s">
        <v>71</v>
      </c>
      <c r="K1017" t="s">
        <v>1368</v>
      </c>
    </row>
    <row r="1018" spans="1:11">
      <c r="A1018" t="s">
        <v>2141</v>
      </c>
      <c r="B1018" s="5">
        <v>46218</v>
      </c>
      <c r="C1018" t="s">
        <v>2123</v>
      </c>
      <c r="D1018" t="s">
        <v>67</v>
      </c>
      <c r="E1018" t="s">
        <v>40</v>
      </c>
      <c r="F1018" t="s">
        <v>68</v>
      </c>
      <c r="G1018" t="s">
        <v>1032</v>
      </c>
      <c r="H1018" t="s">
        <v>317</v>
      </c>
      <c r="I1018" s="6">
        <v>8.5</v>
      </c>
      <c r="J1018" t="s">
        <v>71</v>
      </c>
      <c r="K1018" t="s">
        <v>1033</v>
      </c>
    </row>
    <row r="1019" spans="1:11">
      <c r="A1019" t="s">
        <v>2142</v>
      </c>
      <c r="B1019" s="5">
        <v>46204</v>
      </c>
      <c r="C1019" t="s">
        <v>2143</v>
      </c>
      <c r="I1019" s="6">
        <v>0</v>
      </c>
      <c r="J1019" t="s">
        <v>680</v>
      </c>
      <c r="K1019" t="s">
        <v>992</v>
      </c>
    </row>
    <row r="1020" spans="1:11">
      <c r="A1020" t="s">
        <v>2144</v>
      </c>
      <c r="B1020" s="5">
        <v>46209</v>
      </c>
      <c r="C1020" t="s">
        <v>2143</v>
      </c>
      <c r="D1020" t="s">
        <v>67</v>
      </c>
      <c r="E1020" t="s">
        <v>40</v>
      </c>
      <c r="F1020" t="s">
        <v>68</v>
      </c>
      <c r="G1020" t="s">
        <v>1503</v>
      </c>
      <c r="H1020" t="s">
        <v>112</v>
      </c>
      <c r="I1020" s="6">
        <v>8</v>
      </c>
      <c r="J1020" t="s">
        <v>71</v>
      </c>
      <c r="K1020" t="s">
        <v>1504</v>
      </c>
    </row>
    <row r="1021" spans="1:11">
      <c r="A1021" t="s">
        <v>2145</v>
      </c>
      <c r="B1021" s="5">
        <v>46210</v>
      </c>
      <c r="C1021" t="s">
        <v>2143</v>
      </c>
      <c r="D1021" t="s">
        <v>67</v>
      </c>
      <c r="E1021" t="s">
        <v>40</v>
      </c>
      <c r="F1021" t="s">
        <v>68</v>
      </c>
      <c r="G1021" t="s">
        <v>124</v>
      </c>
      <c r="H1021" t="s">
        <v>125</v>
      </c>
      <c r="I1021" s="6">
        <v>8</v>
      </c>
      <c r="J1021" t="s">
        <v>71</v>
      </c>
      <c r="K1021" t="s">
        <v>1506</v>
      </c>
    </row>
    <row r="1022" spans="1:11">
      <c r="A1022" t="s">
        <v>2146</v>
      </c>
      <c r="B1022" s="5">
        <v>46211</v>
      </c>
      <c r="C1022" t="s">
        <v>2143</v>
      </c>
      <c r="D1022" t="s">
        <v>67</v>
      </c>
      <c r="E1022" t="s">
        <v>40</v>
      </c>
      <c r="F1022" t="s">
        <v>68</v>
      </c>
      <c r="G1022" t="s">
        <v>89</v>
      </c>
      <c r="H1022" t="s">
        <v>90</v>
      </c>
      <c r="I1022" s="6">
        <v>9.5</v>
      </c>
      <c r="J1022" t="s">
        <v>71</v>
      </c>
      <c r="K1022" t="s">
        <v>1508</v>
      </c>
    </row>
    <row r="1023" spans="1:11">
      <c r="A1023" t="s">
        <v>2147</v>
      </c>
      <c r="B1023" s="5">
        <v>46216</v>
      </c>
      <c r="C1023" t="s">
        <v>2143</v>
      </c>
      <c r="D1023" t="s">
        <v>67</v>
      </c>
      <c r="E1023" t="s">
        <v>40</v>
      </c>
      <c r="F1023" t="s">
        <v>68</v>
      </c>
      <c r="G1023" t="s">
        <v>171</v>
      </c>
      <c r="H1023" t="s">
        <v>172</v>
      </c>
      <c r="I1023" s="6">
        <v>12</v>
      </c>
      <c r="J1023" t="s">
        <v>71</v>
      </c>
      <c r="K1023" t="s">
        <v>173</v>
      </c>
    </row>
    <row r="1024" spans="1:11">
      <c r="A1024" t="s">
        <v>2148</v>
      </c>
      <c r="B1024" s="5">
        <v>46217</v>
      </c>
      <c r="C1024" t="s">
        <v>2143</v>
      </c>
      <c r="D1024" t="s">
        <v>67</v>
      </c>
      <c r="E1024" t="s">
        <v>17</v>
      </c>
      <c r="F1024" t="s">
        <v>68</v>
      </c>
      <c r="G1024" t="s">
        <v>671</v>
      </c>
      <c r="H1024" t="s">
        <v>672</v>
      </c>
      <c r="I1024" s="6">
        <v>8</v>
      </c>
      <c r="J1024" t="s">
        <v>71</v>
      </c>
      <c r="K1024" t="s">
        <v>673</v>
      </c>
    </row>
    <row r="1025" spans="1:11">
      <c r="A1025" t="s">
        <v>2149</v>
      </c>
      <c r="B1025" s="5">
        <v>46218</v>
      </c>
      <c r="C1025" t="s">
        <v>2143</v>
      </c>
      <c r="D1025" t="s">
        <v>67</v>
      </c>
      <c r="E1025" t="s">
        <v>40</v>
      </c>
      <c r="F1025" t="s">
        <v>82</v>
      </c>
      <c r="G1025" t="s">
        <v>1512</v>
      </c>
      <c r="H1025" t="s">
        <v>112</v>
      </c>
      <c r="I1025" s="6">
        <v>5</v>
      </c>
      <c r="J1025" t="s">
        <v>71</v>
      </c>
      <c r="K1025" t="s">
        <v>2150</v>
      </c>
    </row>
    <row r="1026" spans="1:11">
      <c r="A1026" t="s">
        <v>2151</v>
      </c>
      <c r="B1026" s="5">
        <v>46209</v>
      </c>
      <c r="C1026" t="s">
        <v>2152</v>
      </c>
      <c r="D1026" t="s">
        <v>67</v>
      </c>
      <c r="E1026" t="s">
        <v>40</v>
      </c>
      <c r="F1026" t="s">
        <v>82</v>
      </c>
      <c r="G1026" t="s">
        <v>1503</v>
      </c>
      <c r="H1026" t="s">
        <v>112</v>
      </c>
      <c r="I1026" s="6">
        <v>8</v>
      </c>
      <c r="J1026" t="s">
        <v>71</v>
      </c>
      <c r="K1026" t="s">
        <v>2153</v>
      </c>
    </row>
    <row r="1027" spans="1:11">
      <c r="A1027" t="s">
        <v>2154</v>
      </c>
      <c r="B1027" s="5">
        <v>46212</v>
      </c>
      <c r="C1027" t="s">
        <v>2152</v>
      </c>
      <c r="D1027" t="s">
        <v>67</v>
      </c>
      <c r="E1027" t="s">
        <v>40</v>
      </c>
      <c r="F1027" t="s">
        <v>82</v>
      </c>
      <c r="G1027" t="s">
        <v>2057</v>
      </c>
      <c r="H1027" t="s">
        <v>389</v>
      </c>
      <c r="I1027" s="6">
        <v>6.5</v>
      </c>
      <c r="J1027" t="s">
        <v>71</v>
      </c>
      <c r="K1027" t="s">
        <v>2155</v>
      </c>
    </row>
    <row r="1028" spans="1:11">
      <c r="A1028" t="s">
        <v>2156</v>
      </c>
      <c r="B1028" s="5">
        <v>46217</v>
      </c>
      <c r="C1028" t="s">
        <v>2157</v>
      </c>
      <c r="D1028" t="s">
        <v>67</v>
      </c>
      <c r="E1028" t="s">
        <v>9</v>
      </c>
      <c r="F1028" t="s">
        <v>2158</v>
      </c>
      <c r="G1028" t="s">
        <v>2159</v>
      </c>
      <c r="H1028" t="s">
        <v>2160</v>
      </c>
      <c r="I1028" s="6">
        <v>1</v>
      </c>
      <c r="J1028" t="s">
        <v>71</v>
      </c>
      <c r="K1028" t="s">
        <v>2161</v>
      </c>
    </row>
    <row r="1029" spans="1:11">
      <c r="A1029" t="s">
        <v>2162</v>
      </c>
      <c r="B1029" s="5">
        <v>46204</v>
      </c>
      <c r="C1029" t="s">
        <v>2163</v>
      </c>
      <c r="D1029" t="s">
        <v>67</v>
      </c>
      <c r="E1029" t="s">
        <v>26</v>
      </c>
      <c r="F1029" t="s">
        <v>179</v>
      </c>
      <c r="G1029" t="s">
        <v>1719</v>
      </c>
      <c r="H1029" t="s">
        <v>1720</v>
      </c>
      <c r="I1029" s="6">
        <v>8</v>
      </c>
      <c r="J1029" t="s">
        <v>71</v>
      </c>
      <c r="K1029" t="s">
        <v>2164</v>
      </c>
    </row>
    <row r="1030" spans="1:11">
      <c r="A1030" t="s">
        <v>2165</v>
      </c>
      <c r="B1030" s="5">
        <v>46205</v>
      </c>
      <c r="C1030" t="s">
        <v>2163</v>
      </c>
      <c r="D1030" t="s">
        <v>67</v>
      </c>
      <c r="E1030" t="s">
        <v>26</v>
      </c>
      <c r="F1030" t="s">
        <v>179</v>
      </c>
      <c r="G1030" t="s">
        <v>763</v>
      </c>
      <c r="H1030" t="s">
        <v>764</v>
      </c>
      <c r="I1030" s="6">
        <v>8</v>
      </c>
      <c r="J1030" t="s">
        <v>71</v>
      </c>
      <c r="K1030" t="s">
        <v>1983</v>
      </c>
    </row>
    <row r="1031" spans="1:11">
      <c r="A1031" t="s">
        <v>2166</v>
      </c>
      <c r="B1031" s="5">
        <v>46209</v>
      </c>
      <c r="C1031" t="s">
        <v>2163</v>
      </c>
      <c r="D1031" t="s">
        <v>67</v>
      </c>
      <c r="E1031" t="s">
        <v>26</v>
      </c>
      <c r="F1031" t="s">
        <v>179</v>
      </c>
      <c r="G1031" t="s">
        <v>1210</v>
      </c>
      <c r="H1031" t="s">
        <v>1211</v>
      </c>
      <c r="I1031" s="6">
        <v>8</v>
      </c>
      <c r="J1031" t="s">
        <v>71</v>
      </c>
      <c r="K1031" t="s">
        <v>2167</v>
      </c>
    </row>
    <row r="1032" spans="1:11">
      <c r="A1032" t="s">
        <v>2168</v>
      </c>
      <c r="B1032" s="5">
        <v>46210</v>
      </c>
      <c r="C1032" t="s">
        <v>2163</v>
      </c>
      <c r="D1032" t="s">
        <v>67</v>
      </c>
      <c r="E1032" t="s">
        <v>26</v>
      </c>
      <c r="F1032" t="s">
        <v>179</v>
      </c>
      <c r="G1032" t="s">
        <v>1210</v>
      </c>
      <c r="H1032" t="s">
        <v>1211</v>
      </c>
      <c r="I1032" s="6">
        <v>8</v>
      </c>
      <c r="J1032" t="s">
        <v>71</v>
      </c>
      <c r="K1032" t="s">
        <v>2167</v>
      </c>
    </row>
    <row r="1033" spans="1:11">
      <c r="A1033" t="s">
        <v>2169</v>
      </c>
      <c r="B1033" s="5">
        <v>46211</v>
      </c>
      <c r="C1033" t="s">
        <v>2163</v>
      </c>
      <c r="D1033" t="s">
        <v>67</v>
      </c>
      <c r="E1033" t="s">
        <v>26</v>
      </c>
      <c r="F1033" t="s">
        <v>179</v>
      </c>
      <c r="G1033" t="s">
        <v>1210</v>
      </c>
      <c r="H1033" t="s">
        <v>1211</v>
      </c>
      <c r="I1033" s="6">
        <v>12</v>
      </c>
      <c r="J1033" t="s">
        <v>71</v>
      </c>
      <c r="K1033" t="s">
        <v>2170</v>
      </c>
    </row>
    <row r="1034" spans="1:11">
      <c r="A1034" t="s">
        <v>2171</v>
      </c>
      <c r="B1034" s="5">
        <v>46212</v>
      </c>
      <c r="C1034" t="s">
        <v>2163</v>
      </c>
      <c r="D1034" t="s">
        <v>67</v>
      </c>
      <c r="E1034" t="s">
        <v>26</v>
      </c>
      <c r="F1034" t="s">
        <v>179</v>
      </c>
      <c r="G1034" t="s">
        <v>1210</v>
      </c>
      <c r="H1034" t="s">
        <v>1211</v>
      </c>
      <c r="I1034" s="6">
        <v>4</v>
      </c>
      <c r="J1034" t="s">
        <v>71</v>
      </c>
      <c r="K1034" t="s">
        <v>2172</v>
      </c>
    </row>
    <row r="1035" spans="1:11">
      <c r="A1035" t="s">
        <v>2173</v>
      </c>
      <c r="B1035" s="5">
        <v>46216</v>
      </c>
      <c r="C1035" t="s">
        <v>2163</v>
      </c>
      <c r="D1035" t="s">
        <v>67</v>
      </c>
      <c r="E1035" t="s">
        <v>26</v>
      </c>
      <c r="F1035" t="s">
        <v>179</v>
      </c>
      <c r="G1035" t="s">
        <v>1223</v>
      </c>
      <c r="H1035" t="s">
        <v>1224</v>
      </c>
      <c r="I1035" s="6">
        <v>10</v>
      </c>
      <c r="J1035" t="s">
        <v>71</v>
      </c>
      <c r="K1035" t="s">
        <v>2174</v>
      </c>
    </row>
    <row r="1036" spans="1:11">
      <c r="A1036" t="s">
        <v>2175</v>
      </c>
      <c r="B1036" s="5">
        <v>46217</v>
      </c>
      <c r="C1036" t="s">
        <v>2163</v>
      </c>
      <c r="D1036" t="s">
        <v>67</v>
      </c>
      <c r="E1036" t="s">
        <v>26</v>
      </c>
      <c r="F1036" t="s">
        <v>179</v>
      </c>
      <c r="G1036" t="s">
        <v>1227</v>
      </c>
      <c r="H1036" t="s">
        <v>1228</v>
      </c>
      <c r="I1036" s="6">
        <v>8</v>
      </c>
      <c r="J1036" t="s">
        <v>71</v>
      </c>
      <c r="K1036" t="s">
        <v>2176</v>
      </c>
    </row>
    <row r="1037" spans="1:11">
      <c r="A1037" t="s">
        <v>2177</v>
      </c>
      <c r="B1037" s="5">
        <v>46218</v>
      </c>
      <c r="C1037" t="s">
        <v>2163</v>
      </c>
      <c r="D1037" t="s">
        <v>67</v>
      </c>
      <c r="E1037" t="s">
        <v>9</v>
      </c>
      <c r="F1037" t="s">
        <v>179</v>
      </c>
      <c r="G1037" t="s">
        <v>1738</v>
      </c>
      <c r="H1037" t="s">
        <v>1739</v>
      </c>
      <c r="I1037" s="6">
        <v>10</v>
      </c>
      <c r="J1037" t="s">
        <v>71</v>
      </c>
      <c r="K1037" t="s">
        <v>2178</v>
      </c>
    </row>
    <row r="1038" spans="1:11">
      <c r="A1038" t="s">
        <v>2179</v>
      </c>
      <c r="B1038" s="5">
        <v>46204</v>
      </c>
      <c r="C1038" t="s">
        <v>2180</v>
      </c>
      <c r="D1038" t="s">
        <v>67</v>
      </c>
      <c r="E1038" t="s">
        <v>9</v>
      </c>
      <c r="F1038" t="s">
        <v>179</v>
      </c>
      <c r="G1038" t="s">
        <v>2181</v>
      </c>
      <c r="H1038" t="s">
        <v>2182</v>
      </c>
      <c r="I1038" s="6">
        <v>7</v>
      </c>
      <c r="J1038" t="s">
        <v>95</v>
      </c>
      <c r="K1038" t="s">
        <v>2183</v>
      </c>
    </row>
    <row r="1039" spans="1:11">
      <c r="A1039" t="s">
        <v>2184</v>
      </c>
      <c r="B1039" s="5">
        <v>46205</v>
      </c>
      <c r="C1039" t="s">
        <v>2180</v>
      </c>
      <c r="D1039" t="s">
        <v>67</v>
      </c>
      <c r="E1039" t="s">
        <v>9</v>
      </c>
      <c r="F1039" t="s">
        <v>179</v>
      </c>
      <c r="G1039" t="s">
        <v>184</v>
      </c>
      <c r="H1039" t="s">
        <v>185</v>
      </c>
      <c r="I1039" s="6">
        <v>6.5</v>
      </c>
      <c r="J1039" t="s">
        <v>71</v>
      </c>
      <c r="K1039" t="s">
        <v>186</v>
      </c>
    </row>
    <row r="1040" spans="1:11">
      <c r="A1040" t="s">
        <v>2185</v>
      </c>
      <c r="B1040" s="5">
        <v>46206</v>
      </c>
      <c r="C1040" t="s">
        <v>2180</v>
      </c>
      <c r="D1040" t="s">
        <v>67</v>
      </c>
      <c r="E1040" t="s">
        <v>9</v>
      </c>
      <c r="F1040" t="s">
        <v>179</v>
      </c>
      <c r="G1040" t="s">
        <v>1975</v>
      </c>
      <c r="H1040" t="s">
        <v>1976</v>
      </c>
      <c r="I1040" s="6">
        <v>5.5</v>
      </c>
      <c r="J1040" t="s">
        <v>95</v>
      </c>
      <c r="K1040" t="s">
        <v>2186</v>
      </c>
    </row>
    <row r="1041" spans="1:11">
      <c r="A1041" t="s">
        <v>2187</v>
      </c>
      <c r="B1041" s="5">
        <v>46209</v>
      </c>
      <c r="C1041" t="s">
        <v>2180</v>
      </c>
      <c r="D1041" t="s">
        <v>67</v>
      </c>
      <c r="E1041" t="s">
        <v>9</v>
      </c>
      <c r="F1041" t="s">
        <v>179</v>
      </c>
      <c r="G1041" t="s">
        <v>950</v>
      </c>
      <c r="H1041" t="s">
        <v>216</v>
      </c>
      <c r="I1041" s="6">
        <v>8.25</v>
      </c>
      <c r="J1041" t="s">
        <v>71</v>
      </c>
      <c r="K1041" t="s">
        <v>2188</v>
      </c>
    </row>
    <row r="1042" spans="1:11">
      <c r="A1042" t="s">
        <v>2189</v>
      </c>
      <c r="B1042" s="5">
        <v>46210</v>
      </c>
      <c r="C1042" t="s">
        <v>2180</v>
      </c>
      <c r="D1042" t="s">
        <v>67</v>
      </c>
      <c r="E1042" t="s">
        <v>30</v>
      </c>
      <c r="F1042" t="s">
        <v>179</v>
      </c>
      <c r="G1042" t="s">
        <v>794</v>
      </c>
      <c r="H1042" t="s">
        <v>795</v>
      </c>
      <c r="I1042" s="6">
        <v>9</v>
      </c>
      <c r="J1042" t="s">
        <v>71</v>
      </c>
      <c r="K1042" t="s">
        <v>2190</v>
      </c>
    </row>
    <row r="1043" spans="1:11">
      <c r="A1043" t="s">
        <v>2191</v>
      </c>
      <c r="B1043" s="5">
        <v>46211</v>
      </c>
      <c r="C1043" t="s">
        <v>2180</v>
      </c>
      <c r="D1043" t="s">
        <v>67</v>
      </c>
      <c r="E1043" t="s">
        <v>9</v>
      </c>
      <c r="F1043" t="s">
        <v>179</v>
      </c>
      <c r="G1043" t="s">
        <v>2192</v>
      </c>
      <c r="H1043" t="s">
        <v>2193</v>
      </c>
      <c r="I1043" s="6">
        <v>4</v>
      </c>
      <c r="J1043" t="s">
        <v>95</v>
      </c>
      <c r="K1043" t="s">
        <v>2194</v>
      </c>
    </row>
    <row r="1044" spans="1:11">
      <c r="A1044" t="s">
        <v>2195</v>
      </c>
      <c r="B1044" s="5">
        <v>46212</v>
      </c>
      <c r="C1044" t="s">
        <v>2180</v>
      </c>
      <c r="D1044" t="s">
        <v>67</v>
      </c>
      <c r="E1044" t="s">
        <v>9</v>
      </c>
      <c r="F1044" t="s">
        <v>179</v>
      </c>
      <c r="G1044" t="s">
        <v>926</v>
      </c>
      <c r="H1044" t="s">
        <v>927</v>
      </c>
      <c r="I1044" s="6">
        <v>10</v>
      </c>
      <c r="J1044" t="s">
        <v>71</v>
      </c>
      <c r="K1044" t="s">
        <v>2196</v>
      </c>
    </row>
    <row r="1045" spans="1:11">
      <c r="A1045" t="s">
        <v>2197</v>
      </c>
      <c r="B1045" s="5">
        <v>46213</v>
      </c>
      <c r="C1045" t="s">
        <v>2180</v>
      </c>
      <c r="D1045" t="s">
        <v>67</v>
      </c>
      <c r="E1045" t="s">
        <v>9</v>
      </c>
      <c r="F1045" t="s">
        <v>179</v>
      </c>
      <c r="G1045" t="s">
        <v>926</v>
      </c>
      <c r="H1045" t="s">
        <v>927</v>
      </c>
      <c r="I1045" s="6">
        <v>7.75</v>
      </c>
      <c r="J1045" t="s">
        <v>71</v>
      </c>
      <c r="K1045" t="s">
        <v>2198</v>
      </c>
    </row>
    <row r="1046" spans="1:11">
      <c r="A1046" t="s">
        <v>2199</v>
      </c>
      <c r="B1046" s="5">
        <v>46216</v>
      </c>
      <c r="C1046" t="s">
        <v>2180</v>
      </c>
      <c r="D1046" t="s">
        <v>67</v>
      </c>
      <c r="E1046" t="s">
        <v>9</v>
      </c>
      <c r="F1046" t="s">
        <v>68</v>
      </c>
      <c r="G1046" t="s">
        <v>2200</v>
      </c>
      <c r="H1046" t="s">
        <v>2201</v>
      </c>
      <c r="I1046" s="6">
        <v>3.75</v>
      </c>
      <c r="J1046" t="s">
        <v>194</v>
      </c>
      <c r="K1046" t="s">
        <v>2202</v>
      </c>
    </row>
    <row r="1047" spans="1:11">
      <c r="A1047" t="s">
        <v>2203</v>
      </c>
      <c r="B1047" s="5">
        <v>46217</v>
      </c>
      <c r="C1047" t="s">
        <v>2180</v>
      </c>
      <c r="D1047" t="s">
        <v>67</v>
      </c>
      <c r="E1047" t="s">
        <v>9</v>
      </c>
      <c r="F1047" t="s">
        <v>179</v>
      </c>
      <c r="G1047" t="s">
        <v>926</v>
      </c>
      <c r="H1047" t="s">
        <v>927</v>
      </c>
      <c r="I1047" s="6">
        <v>9.25</v>
      </c>
      <c r="J1047" t="s">
        <v>71</v>
      </c>
      <c r="K1047" t="s">
        <v>936</v>
      </c>
    </row>
    <row r="1048" spans="1:11">
      <c r="A1048" t="s">
        <v>2204</v>
      </c>
      <c r="B1048" s="5">
        <v>46218</v>
      </c>
      <c r="C1048" t="s">
        <v>2180</v>
      </c>
      <c r="D1048" t="s">
        <v>67</v>
      </c>
      <c r="E1048" t="s">
        <v>9</v>
      </c>
      <c r="F1048" t="s">
        <v>179</v>
      </c>
      <c r="G1048" t="s">
        <v>926</v>
      </c>
      <c r="H1048" t="s">
        <v>927</v>
      </c>
      <c r="I1048" s="6">
        <v>8.75</v>
      </c>
      <c r="J1048" t="s">
        <v>71</v>
      </c>
      <c r="K1048" t="s">
        <v>2205</v>
      </c>
    </row>
    <row r="1049" spans="1:11">
      <c r="A1049" t="s">
        <v>2206</v>
      </c>
      <c r="B1049" s="5">
        <v>46204</v>
      </c>
      <c r="C1049" t="s">
        <v>2207</v>
      </c>
      <c r="D1049" t="s">
        <v>67</v>
      </c>
      <c r="E1049" t="s">
        <v>9</v>
      </c>
      <c r="F1049" t="s">
        <v>504</v>
      </c>
      <c r="G1049" t="s">
        <v>784</v>
      </c>
      <c r="H1049" t="s">
        <v>785</v>
      </c>
      <c r="I1049" s="6">
        <v>8</v>
      </c>
      <c r="J1049" t="s">
        <v>95</v>
      </c>
      <c r="K1049" t="s">
        <v>2208</v>
      </c>
    </row>
    <row r="1050" spans="1:11">
      <c r="A1050" t="s">
        <v>2209</v>
      </c>
      <c r="B1050" s="5">
        <v>46205</v>
      </c>
      <c r="C1050" t="s">
        <v>2207</v>
      </c>
      <c r="D1050" t="s">
        <v>67</v>
      </c>
      <c r="E1050" t="s">
        <v>9</v>
      </c>
      <c r="F1050" t="s">
        <v>68</v>
      </c>
      <c r="G1050" t="s">
        <v>856</v>
      </c>
      <c r="H1050" t="s">
        <v>857</v>
      </c>
      <c r="I1050" s="6">
        <v>10.5</v>
      </c>
      <c r="J1050" t="s">
        <v>71</v>
      </c>
      <c r="K1050" t="s">
        <v>1603</v>
      </c>
    </row>
    <row r="1051" spans="1:11">
      <c r="A1051" t="s">
        <v>2210</v>
      </c>
      <c r="B1051" s="5">
        <v>46209</v>
      </c>
      <c r="C1051" t="s">
        <v>2207</v>
      </c>
      <c r="D1051" t="s">
        <v>67</v>
      </c>
      <c r="E1051" t="s">
        <v>9</v>
      </c>
      <c r="F1051" t="s">
        <v>68</v>
      </c>
      <c r="G1051" t="s">
        <v>856</v>
      </c>
      <c r="H1051" t="s">
        <v>857</v>
      </c>
      <c r="I1051" s="6">
        <v>10</v>
      </c>
      <c r="J1051" t="s">
        <v>71</v>
      </c>
      <c r="K1051" t="s">
        <v>2211</v>
      </c>
    </row>
    <row r="1052" spans="1:11">
      <c r="A1052" t="s">
        <v>2212</v>
      </c>
      <c r="B1052" s="5">
        <v>46210</v>
      </c>
      <c r="C1052" t="s">
        <v>2207</v>
      </c>
      <c r="D1052" t="s">
        <v>67</v>
      </c>
      <c r="E1052" t="s">
        <v>9</v>
      </c>
      <c r="F1052" t="s">
        <v>68</v>
      </c>
      <c r="G1052" t="s">
        <v>856</v>
      </c>
      <c r="H1052" t="s">
        <v>857</v>
      </c>
      <c r="I1052" s="6">
        <v>8.5</v>
      </c>
      <c r="J1052" t="s">
        <v>71</v>
      </c>
      <c r="K1052" t="s">
        <v>2213</v>
      </c>
    </row>
    <row r="1053" spans="1:11">
      <c r="A1053" t="s">
        <v>2214</v>
      </c>
      <c r="B1053" s="5">
        <v>46211</v>
      </c>
      <c r="C1053" t="s">
        <v>2207</v>
      </c>
      <c r="D1053" t="s">
        <v>67</v>
      </c>
      <c r="E1053" t="s">
        <v>9</v>
      </c>
      <c r="F1053" t="s">
        <v>68</v>
      </c>
      <c r="G1053" t="s">
        <v>856</v>
      </c>
      <c r="H1053" t="s">
        <v>857</v>
      </c>
      <c r="I1053" s="6">
        <v>9.5</v>
      </c>
      <c r="J1053" t="s">
        <v>71</v>
      </c>
      <c r="K1053" t="s">
        <v>1611</v>
      </c>
    </row>
    <row r="1054" spans="1:11">
      <c r="A1054" t="s">
        <v>2215</v>
      </c>
      <c r="B1054" s="5">
        <v>46212</v>
      </c>
      <c r="C1054" t="s">
        <v>2207</v>
      </c>
      <c r="D1054" t="s">
        <v>67</v>
      </c>
      <c r="E1054" t="s">
        <v>9</v>
      </c>
      <c r="F1054" t="s">
        <v>82</v>
      </c>
      <c r="G1054" t="s">
        <v>2216</v>
      </c>
      <c r="H1054" t="s">
        <v>2160</v>
      </c>
      <c r="I1054" s="6">
        <v>7</v>
      </c>
      <c r="J1054" t="s">
        <v>71</v>
      </c>
      <c r="K1054" t="s">
        <v>2217</v>
      </c>
    </row>
    <row r="1055" spans="1:11">
      <c r="A1055" t="s">
        <v>2218</v>
      </c>
      <c r="B1055" s="5">
        <v>46213</v>
      </c>
      <c r="C1055" t="s">
        <v>2207</v>
      </c>
      <c r="D1055" t="s">
        <v>67</v>
      </c>
      <c r="E1055" t="s">
        <v>9</v>
      </c>
      <c r="F1055" t="s">
        <v>68</v>
      </c>
      <c r="G1055" t="s">
        <v>2219</v>
      </c>
      <c r="H1055" t="s">
        <v>2220</v>
      </c>
      <c r="I1055" s="6">
        <v>1.75</v>
      </c>
      <c r="J1055" t="s">
        <v>71</v>
      </c>
      <c r="K1055" t="s">
        <v>2221</v>
      </c>
    </row>
    <row r="1056" spans="1:11">
      <c r="A1056" t="s">
        <v>2222</v>
      </c>
      <c r="B1056" s="5">
        <v>46216</v>
      </c>
      <c r="C1056" t="s">
        <v>2207</v>
      </c>
      <c r="D1056" t="s">
        <v>67</v>
      </c>
      <c r="E1056" t="s">
        <v>9</v>
      </c>
      <c r="F1056" t="s">
        <v>68</v>
      </c>
      <c r="G1056" t="s">
        <v>509</v>
      </c>
      <c r="H1056" t="s">
        <v>510</v>
      </c>
      <c r="I1056" s="6">
        <v>6.5</v>
      </c>
      <c r="J1056" t="s">
        <v>71</v>
      </c>
      <c r="K1056" t="s">
        <v>1617</v>
      </c>
    </row>
    <row r="1057" spans="1:11">
      <c r="A1057" t="s">
        <v>2223</v>
      </c>
      <c r="B1057" s="5">
        <v>46217</v>
      </c>
      <c r="C1057" t="s">
        <v>2207</v>
      </c>
      <c r="D1057" t="s">
        <v>67</v>
      </c>
      <c r="E1057" t="s">
        <v>9</v>
      </c>
      <c r="F1057" t="s">
        <v>68</v>
      </c>
      <c r="G1057" t="s">
        <v>509</v>
      </c>
      <c r="H1057" t="s">
        <v>510</v>
      </c>
      <c r="I1057" s="6">
        <v>8.5</v>
      </c>
      <c r="J1057" t="s">
        <v>71</v>
      </c>
      <c r="K1057" t="s">
        <v>1619</v>
      </c>
    </row>
    <row r="1058" spans="1:11">
      <c r="A1058" t="s">
        <v>2224</v>
      </c>
      <c r="B1058" s="5">
        <v>46218</v>
      </c>
      <c r="C1058" t="s">
        <v>2207</v>
      </c>
      <c r="D1058" t="s">
        <v>67</v>
      </c>
      <c r="E1058" t="s">
        <v>9</v>
      </c>
      <c r="F1058" t="s">
        <v>68</v>
      </c>
      <c r="G1058" t="s">
        <v>509</v>
      </c>
      <c r="H1058" t="s">
        <v>510</v>
      </c>
      <c r="I1058" s="6">
        <v>6.5</v>
      </c>
      <c r="J1058" t="s">
        <v>71</v>
      </c>
      <c r="K1058" t="s">
        <v>1617</v>
      </c>
    </row>
    <row r="1059" spans="1:11">
      <c r="A1059" t="s">
        <v>2225</v>
      </c>
      <c r="B1059" s="5">
        <v>46204</v>
      </c>
      <c r="C1059" t="s">
        <v>2226</v>
      </c>
      <c r="I1059" s="6">
        <v>0</v>
      </c>
      <c r="J1059" t="s">
        <v>680</v>
      </c>
      <c r="K1059" t="s">
        <v>992</v>
      </c>
    </row>
    <row r="1060" spans="1:11">
      <c r="A1060" t="s">
        <v>2227</v>
      </c>
      <c r="B1060" s="5">
        <v>46205</v>
      </c>
      <c r="C1060" t="s">
        <v>2226</v>
      </c>
      <c r="I1060" s="6">
        <v>0</v>
      </c>
      <c r="J1060" t="s">
        <v>680</v>
      </c>
      <c r="K1060" t="s">
        <v>992</v>
      </c>
    </row>
    <row r="1061" spans="1:11">
      <c r="A1061" t="s">
        <v>2228</v>
      </c>
      <c r="B1061" s="5">
        <v>46206</v>
      </c>
      <c r="C1061" t="s">
        <v>2226</v>
      </c>
      <c r="I1061" s="6">
        <v>0</v>
      </c>
      <c r="J1061" t="s">
        <v>680</v>
      </c>
      <c r="K1061" t="s">
        <v>992</v>
      </c>
    </row>
    <row r="1062" spans="1:11">
      <c r="A1062" t="s">
        <v>2229</v>
      </c>
      <c r="B1062" s="5">
        <v>46209</v>
      </c>
      <c r="C1062" t="s">
        <v>2226</v>
      </c>
      <c r="I1062" s="6">
        <v>0</v>
      </c>
      <c r="J1062" t="s">
        <v>680</v>
      </c>
      <c r="K1062" t="s">
        <v>992</v>
      </c>
    </row>
    <row r="1063" spans="1:11">
      <c r="A1063" t="s">
        <v>2230</v>
      </c>
      <c r="B1063" s="5">
        <v>46210</v>
      </c>
      <c r="C1063" t="s">
        <v>2226</v>
      </c>
      <c r="I1063" s="6">
        <v>0</v>
      </c>
      <c r="J1063" t="s">
        <v>680</v>
      </c>
      <c r="K1063" t="s">
        <v>992</v>
      </c>
    </row>
    <row r="1064" spans="1:11">
      <c r="A1064" t="s">
        <v>2231</v>
      </c>
      <c r="B1064" s="5">
        <v>46211</v>
      </c>
      <c r="C1064" t="s">
        <v>2226</v>
      </c>
      <c r="I1064" s="6">
        <v>0</v>
      </c>
      <c r="J1064" t="s">
        <v>680</v>
      </c>
      <c r="K1064" t="s">
        <v>992</v>
      </c>
    </row>
    <row r="1065" spans="1:11">
      <c r="A1065" t="s">
        <v>2232</v>
      </c>
      <c r="B1065" s="5">
        <v>46212</v>
      </c>
      <c r="C1065" t="s">
        <v>2226</v>
      </c>
      <c r="I1065" s="6">
        <v>0</v>
      </c>
      <c r="J1065" t="s">
        <v>680</v>
      </c>
      <c r="K1065" t="s">
        <v>992</v>
      </c>
    </row>
    <row r="1066" spans="1:11">
      <c r="A1066" t="s">
        <v>2233</v>
      </c>
      <c r="B1066" s="5">
        <v>46213</v>
      </c>
      <c r="C1066" t="s">
        <v>2226</v>
      </c>
      <c r="I1066" s="6">
        <v>0</v>
      </c>
      <c r="J1066" t="s">
        <v>680</v>
      </c>
      <c r="K1066" t="s">
        <v>992</v>
      </c>
    </row>
    <row r="1067" spans="1:11">
      <c r="A1067" t="s">
        <v>2234</v>
      </c>
      <c r="B1067" s="5">
        <v>46216</v>
      </c>
      <c r="C1067" t="s">
        <v>2226</v>
      </c>
      <c r="D1067" t="s">
        <v>67</v>
      </c>
      <c r="E1067" t="s">
        <v>40</v>
      </c>
      <c r="F1067" t="s">
        <v>179</v>
      </c>
      <c r="G1067" t="s">
        <v>171</v>
      </c>
      <c r="H1067" t="s">
        <v>172</v>
      </c>
      <c r="I1067" s="6">
        <v>12</v>
      </c>
      <c r="J1067" t="s">
        <v>71</v>
      </c>
      <c r="K1067" t="s">
        <v>2235</v>
      </c>
    </row>
    <row r="1068" spans="1:11">
      <c r="A1068" t="s">
        <v>2236</v>
      </c>
      <c r="B1068" s="5">
        <v>46218</v>
      </c>
      <c r="C1068" t="s">
        <v>2226</v>
      </c>
      <c r="D1068" t="s">
        <v>67</v>
      </c>
      <c r="E1068" t="s">
        <v>40</v>
      </c>
      <c r="F1068" t="s">
        <v>179</v>
      </c>
      <c r="G1068" t="s">
        <v>2237</v>
      </c>
      <c r="H1068" t="s">
        <v>772</v>
      </c>
      <c r="I1068" s="6">
        <v>9</v>
      </c>
      <c r="J1068" t="s">
        <v>71</v>
      </c>
      <c r="K1068" t="s">
        <v>2238</v>
      </c>
    </row>
    <row r="1069" spans="1:11">
      <c r="A1069" t="s">
        <v>2239</v>
      </c>
      <c r="B1069" s="5">
        <v>46204</v>
      </c>
      <c r="C1069" t="s">
        <v>2240</v>
      </c>
      <c r="D1069" t="s">
        <v>67</v>
      </c>
      <c r="E1069" t="s">
        <v>9</v>
      </c>
      <c r="F1069" t="s">
        <v>179</v>
      </c>
      <c r="G1069" t="s">
        <v>2241</v>
      </c>
      <c r="H1069" t="s">
        <v>2242</v>
      </c>
      <c r="I1069" s="6">
        <v>10</v>
      </c>
      <c r="J1069" t="s">
        <v>95</v>
      </c>
      <c r="K1069" t="s">
        <v>2243</v>
      </c>
    </row>
    <row r="1070" spans="1:11">
      <c r="A1070" t="s">
        <v>2244</v>
      </c>
      <c r="B1070" s="5">
        <v>46205</v>
      </c>
      <c r="C1070" t="s">
        <v>2240</v>
      </c>
      <c r="D1070" t="s">
        <v>67</v>
      </c>
      <c r="E1070" t="s">
        <v>9</v>
      </c>
      <c r="F1070" t="s">
        <v>179</v>
      </c>
      <c r="G1070" t="s">
        <v>856</v>
      </c>
      <c r="H1070" t="s">
        <v>857</v>
      </c>
      <c r="I1070" s="6">
        <v>10.5</v>
      </c>
      <c r="J1070" t="s">
        <v>71</v>
      </c>
      <c r="K1070" t="s">
        <v>2245</v>
      </c>
    </row>
    <row r="1071" spans="1:11">
      <c r="A1071" t="s">
        <v>2246</v>
      </c>
      <c r="B1071" s="5">
        <v>46206</v>
      </c>
      <c r="C1071" t="s">
        <v>2240</v>
      </c>
      <c r="D1071" t="s">
        <v>67</v>
      </c>
      <c r="E1071" t="s">
        <v>9</v>
      </c>
      <c r="F1071" t="s">
        <v>179</v>
      </c>
      <c r="G1071" t="s">
        <v>856</v>
      </c>
      <c r="H1071" t="s">
        <v>857</v>
      </c>
      <c r="I1071" s="6">
        <v>9</v>
      </c>
      <c r="J1071" t="s">
        <v>71</v>
      </c>
      <c r="K1071" t="s">
        <v>2247</v>
      </c>
    </row>
    <row r="1072" spans="1:11">
      <c r="A1072" t="s">
        <v>2248</v>
      </c>
      <c r="B1072" s="5">
        <v>46209</v>
      </c>
      <c r="C1072" t="s">
        <v>2240</v>
      </c>
      <c r="D1072" t="s">
        <v>67</v>
      </c>
      <c r="E1072" t="s">
        <v>9</v>
      </c>
      <c r="F1072" t="s">
        <v>179</v>
      </c>
      <c r="G1072" t="s">
        <v>856</v>
      </c>
      <c r="H1072" t="s">
        <v>857</v>
      </c>
      <c r="I1072" s="6">
        <v>10</v>
      </c>
      <c r="J1072" t="s">
        <v>71</v>
      </c>
      <c r="K1072" t="s">
        <v>2249</v>
      </c>
    </row>
    <row r="1073" spans="1:11">
      <c r="A1073" t="s">
        <v>2250</v>
      </c>
      <c r="B1073" s="5">
        <v>46210</v>
      </c>
      <c r="C1073" t="s">
        <v>2240</v>
      </c>
      <c r="D1073" t="s">
        <v>67</v>
      </c>
      <c r="E1073" t="s">
        <v>9</v>
      </c>
      <c r="F1073" t="s">
        <v>179</v>
      </c>
      <c r="G1073" t="s">
        <v>856</v>
      </c>
      <c r="H1073" t="s">
        <v>857</v>
      </c>
      <c r="I1073" s="6">
        <v>8.5</v>
      </c>
      <c r="J1073" t="s">
        <v>71</v>
      </c>
      <c r="K1073" t="s">
        <v>858</v>
      </c>
    </row>
    <row r="1074" spans="1:11">
      <c r="A1074" t="s">
        <v>2251</v>
      </c>
      <c r="B1074" s="5">
        <v>46211</v>
      </c>
      <c r="C1074" t="s">
        <v>2240</v>
      </c>
      <c r="D1074" t="s">
        <v>67</v>
      </c>
      <c r="E1074" t="s">
        <v>9</v>
      </c>
      <c r="F1074" t="s">
        <v>179</v>
      </c>
      <c r="G1074" t="s">
        <v>856</v>
      </c>
      <c r="H1074" t="s">
        <v>857</v>
      </c>
      <c r="I1074" s="6">
        <v>9.5</v>
      </c>
      <c r="J1074" t="s">
        <v>71</v>
      </c>
      <c r="K1074" t="s">
        <v>2252</v>
      </c>
    </row>
    <row r="1075" spans="1:11">
      <c r="A1075" t="s">
        <v>2253</v>
      </c>
      <c r="B1075" s="5">
        <v>46212</v>
      </c>
      <c r="C1075" t="s">
        <v>2240</v>
      </c>
      <c r="D1075" t="s">
        <v>67</v>
      </c>
      <c r="E1075" t="s">
        <v>9</v>
      </c>
      <c r="F1075" t="s">
        <v>179</v>
      </c>
      <c r="G1075" t="s">
        <v>2216</v>
      </c>
      <c r="H1075" t="s">
        <v>2160</v>
      </c>
      <c r="I1075" s="6">
        <v>7</v>
      </c>
      <c r="J1075" t="s">
        <v>71</v>
      </c>
      <c r="K1075" t="s">
        <v>2254</v>
      </c>
    </row>
    <row r="1076" spans="1:11">
      <c r="A1076" t="s">
        <v>2255</v>
      </c>
      <c r="B1076" s="5">
        <v>46213</v>
      </c>
      <c r="C1076" t="s">
        <v>2240</v>
      </c>
      <c r="D1076" t="s">
        <v>67</v>
      </c>
      <c r="E1076" t="s">
        <v>9</v>
      </c>
      <c r="F1076" t="s">
        <v>179</v>
      </c>
      <c r="G1076" t="s">
        <v>2256</v>
      </c>
      <c r="H1076" t="s">
        <v>2257</v>
      </c>
      <c r="I1076" s="6">
        <v>7</v>
      </c>
      <c r="J1076" t="s">
        <v>194</v>
      </c>
      <c r="K1076" t="s">
        <v>2258</v>
      </c>
    </row>
    <row r="1077" spans="1:11">
      <c r="A1077" t="s">
        <v>2259</v>
      </c>
      <c r="B1077" s="5">
        <v>46216</v>
      </c>
      <c r="C1077" t="s">
        <v>2240</v>
      </c>
      <c r="D1077" t="s">
        <v>67</v>
      </c>
      <c r="E1077" t="s">
        <v>9</v>
      </c>
      <c r="F1077" t="s">
        <v>179</v>
      </c>
      <c r="G1077" t="s">
        <v>509</v>
      </c>
      <c r="H1077" t="s">
        <v>510</v>
      </c>
      <c r="I1077" s="6">
        <v>4.5</v>
      </c>
      <c r="J1077" t="s">
        <v>71</v>
      </c>
      <c r="K1077" t="s">
        <v>2260</v>
      </c>
    </row>
    <row r="1078" spans="1:11">
      <c r="A1078" t="s">
        <v>2261</v>
      </c>
      <c r="B1078" s="5">
        <v>46217</v>
      </c>
      <c r="C1078" t="s">
        <v>2240</v>
      </c>
      <c r="D1078" t="s">
        <v>67</v>
      </c>
      <c r="E1078" t="s">
        <v>9</v>
      </c>
      <c r="F1078" t="s">
        <v>179</v>
      </c>
      <c r="G1078" t="s">
        <v>1876</v>
      </c>
      <c r="H1078" t="s">
        <v>1877</v>
      </c>
      <c r="I1078" s="6">
        <v>7</v>
      </c>
      <c r="J1078" t="s">
        <v>71</v>
      </c>
      <c r="K1078" t="s">
        <v>2262</v>
      </c>
    </row>
    <row r="1079" spans="1:11">
      <c r="A1079" t="s">
        <v>2263</v>
      </c>
      <c r="B1079" s="5">
        <v>46218</v>
      </c>
      <c r="C1079" t="s">
        <v>2240</v>
      </c>
      <c r="D1079" t="s">
        <v>67</v>
      </c>
      <c r="E1079" t="s">
        <v>9</v>
      </c>
      <c r="F1079" t="s">
        <v>179</v>
      </c>
      <c r="G1079" t="s">
        <v>2264</v>
      </c>
      <c r="H1079" t="s">
        <v>2265</v>
      </c>
      <c r="I1079" s="6">
        <v>9.5</v>
      </c>
      <c r="J1079" t="s">
        <v>95</v>
      </c>
      <c r="K1079" t="s">
        <v>2266</v>
      </c>
    </row>
    <row r="1080" spans="1:11">
      <c r="A1080" t="s">
        <v>2267</v>
      </c>
      <c r="B1080" s="5">
        <v>46204</v>
      </c>
      <c r="C1080" t="s">
        <v>2268</v>
      </c>
      <c r="D1080" t="s">
        <v>67</v>
      </c>
      <c r="E1080" t="s">
        <v>9</v>
      </c>
      <c r="F1080" t="s">
        <v>68</v>
      </c>
      <c r="G1080" t="s">
        <v>2181</v>
      </c>
      <c r="H1080" t="s">
        <v>2182</v>
      </c>
      <c r="I1080" s="6">
        <v>7</v>
      </c>
      <c r="J1080" t="s">
        <v>95</v>
      </c>
      <c r="K1080" t="s">
        <v>2269</v>
      </c>
    </row>
    <row r="1081" spans="1:11">
      <c r="A1081" t="s">
        <v>2270</v>
      </c>
      <c r="B1081" s="5">
        <v>46206</v>
      </c>
      <c r="C1081" t="s">
        <v>2268</v>
      </c>
      <c r="D1081" t="s">
        <v>67</v>
      </c>
      <c r="E1081" t="s">
        <v>9</v>
      </c>
      <c r="F1081" t="s">
        <v>68</v>
      </c>
      <c r="G1081" t="s">
        <v>1975</v>
      </c>
      <c r="H1081" t="s">
        <v>1976</v>
      </c>
      <c r="I1081" s="6">
        <v>5.5</v>
      </c>
      <c r="J1081" t="s">
        <v>95</v>
      </c>
      <c r="K1081" t="s">
        <v>2271</v>
      </c>
    </row>
    <row r="1082" spans="1:11">
      <c r="A1082" t="s">
        <v>2272</v>
      </c>
      <c r="B1082" s="5">
        <v>46209</v>
      </c>
      <c r="C1082" t="s">
        <v>2268</v>
      </c>
      <c r="D1082" t="s">
        <v>67</v>
      </c>
      <c r="E1082" t="s">
        <v>9</v>
      </c>
      <c r="F1082" t="s">
        <v>68</v>
      </c>
      <c r="G1082" t="s">
        <v>950</v>
      </c>
      <c r="H1082" t="s">
        <v>216</v>
      </c>
      <c r="I1082" s="6">
        <v>8.25</v>
      </c>
      <c r="J1082" t="s">
        <v>71</v>
      </c>
      <c r="K1082" t="s">
        <v>2273</v>
      </c>
    </row>
    <row r="1083" spans="1:11">
      <c r="A1083" t="s">
        <v>2274</v>
      </c>
      <c r="B1083" s="5">
        <v>46210</v>
      </c>
      <c r="C1083" t="s">
        <v>2268</v>
      </c>
      <c r="D1083" t="s">
        <v>67</v>
      </c>
      <c r="E1083" t="s">
        <v>30</v>
      </c>
      <c r="F1083" t="s">
        <v>68</v>
      </c>
      <c r="G1083" t="s">
        <v>794</v>
      </c>
      <c r="H1083" t="s">
        <v>795</v>
      </c>
      <c r="I1083" s="6">
        <v>9</v>
      </c>
      <c r="J1083" t="s">
        <v>71</v>
      </c>
      <c r="K1083" t="s">
        <v>1414</v>
      </c>
    </row>
    <row r="1084" spans="1:11">
      <c r="A1084" t="s">
        <v>2275</v>
      </c>
      <c r="B1084" s="5">
        <v>46211</v>
      </c>
      <c r="C1084" t="s">
        <v>2268</v>
      </c>
      <c r="D1084" t="s">
        <v>67</v>
      </c>
      <c r="E1084" t="s">
        <v>9</v>
      </c>
      <c r="F1084" t="s">
        <v>68</v>
      </c>
      <c r="G1084" t="s">
        <v>2276</v>
      </c>
      <c r="H1084" t="s">
        <v>2277</v>
      </c>
      <c r="I1084" s="6">
        <v>2.5</v>
      </c>
      <c r="J1084" t="s">
        <v>71</v>
      </c>
      <c r="K1084" t="s">
        <v>2278</v>
      </c>
    </row>
    <row r="1085" spans="1:11">
      <c r="A1085" t="s">
        <v>2279</v>
      </c>
      <c r="B1085" s="5">
        <v>46212</v>
      </c>
      <c r="C1085" t="s">
        <v>2268</v>
      </c>
      <c r="D1085" t="s">
        <v>67</v>
      </c>
      <c r="E1085" t="s">
        <v>9</v>
      </c>
      <c r="F1085" t="s">
        <v>68</v>
      </c>
      <c r="G1085" t="s">
        <v>926</v>
      </c>
      <c r="H1085" t="s">
        <v>927</v>
      </c>
      <c r="I1085" s="6">
        <v>10</v>
      </c>
      <c r="J1085" t="s">
        <v>71</v>
      </c>
      <c r="K1085" t="s">
        <v>2280</v>
      </c>
    </row>
    <row r="1086" spans="1:11">
      <c r="A1086" t="s">
        <v>2281</v>
      </c>
      <c r="B1086" s="5">
        <v>46213</v>
      </c>
      <c r="C1086" t="s">
        <v>2268</v>
      </c>
      <c r="D1086" t="s">
        <v>67</v>
      </c>
      <c r="E1086" t="s">
        <v>9</v>
      </c>
      <c r="F1086" t="s">
        <v>68</v>
      </c>
      <c r="G1086" t="s">
        <v>926</v>
      </c>
      <c r="H1086" t="s">
        <v>927</v>
      </c>
      <c r="I1086" s="6">
        <v>7.75</v>
      </c>
      <c r="J1086" t="s">
        <v>71</v>
      </c>
      <c r="K1086" t="s">
        <v>2282</v>
      </c>
    </row>
    <row r="1087" spans="1:11">
      <c r="A1087" t="s">
        <v>2283</v>
      </c>
      <c r="B1087" s="5">
        <v>46216</v>
      </c>
      <c r="C1087" t="s">
        <v>2268</v>
      </c>
      <c r="D1087" t="s">
        <v>67</v>
      </c>
      <c r="E1087" t="s">
        <v>9</v>
      </c>
      <c r="F1087" t="s">
        <v>68</v>
      </c>
      <c r="G1087" t="s">
        <v>509</v>
      </c>
      <c r="H1087" t="s">
        <v>510</v>
      </c>
      <c r="I1087" s="6">
        <v>4.5</v>
      </c>
      <c r="J1087" t="s">
        <v>71</v>
      </c>
      <c r="K1087" t="s">
        <v>2284</v>
      </c>
    </row>
    <row r="1088" spans="1:11">
      <c r="A1088" t="s">
        <v>2285</v>
      </c>
      <c r="B1088" s="5">
        <v>46217</v>
      </c>
      <c r="C1088" t="s">
        <v>2268</v>
      </c>
      <c r="D1088" t="s">
        <v>67</v>
      </c>
      <c r="E1088" t="s">
        <v>9</v>
      </c>
      <c r="F1088" t="s">
        <v>68</v>
      </c>
      <c r="G1088" t="s">
        <v>926</v>
      </c>
      <c r="H1088" t="s">
        <v>927</v>
      </c>
      <c r="I1088" s="6">
        <v>9.25</v>
      </c>
      <c r="J1088" t="s">
        <v>71</v>
      </c>
      <c r="K1088" t="s">
        <v>2286</v>
      </c>
    </row>
    <row r="1089" spans="1:11">
      <c r="A1089" t="s">
        <v>2287</v>
      </c>
      <c r="B1089" s="5">
        <v>46218</v>
      </c>
      <c r="C1089" t="s">
        <v>2268</v>
      </c>
      <c r="D1089" t="s">
        <v>67</v>
      </c>
      <c r="E1089" t="s">
        <v>9</v>
      </c>
      <c r="F1089" t="s">
        <v>68</v>
      </c>
      <c r="G1089" t="s">
        <v>926</v>
      </c>
      <c r="H1089" t="s">
        <v>927</v>
      </c>
      <c r="I1089" s="6">
        <v>8.75</v>
      </c>
      <c r="J1089" t="s">
        <v>71</v>
      </c>
      <c r="K1089" t="s">
        <v>2288</v>
      </c>
    </row>
    <row r="1090" spans="1:11">
      <c r="A1090" t="s">
        <v>2289</v>
      </c>
      <c r="B1090" s="5">
        <v>46205</v>
      </c>
      <c r="C1090" t="s">
        <v>2290</v>
      </c>
      <c r="D1090" t="s">
        <v>67</v>
      </c>
      <c r="E1090" t="s">
        <v>9</v>
      </c>
      <c r="F1090" t="s">
        <v>68</v>
      </c>
      <c r="G1090" t="s">
        <v>184</v>
      </c>
      <c r="H1090" t="s">
        <v>185</v>
      </c>
      <c r="I1090" s="6">
        <v>6.5</v>
      </c>
      <c r="J1090" t="s">
        <v>71</v>
      </c>
      <c r="K1090" t="s">
        <v>1174</v>
      </c>
    </row>
    <row r="1091" spans="1:11">
      <c r="A1091" t="s">
        <v>2291</v>
      </c>
      <c r="B1091" s="5">
        <v>46206</v>
      </c>
      <c r="C1091" t="s">
        <v>2290</v>
      </c>
      <c r="D1091" t="s">
        <v>67</v>
      </c>
      <c r="E1091" t="s">
        <v>1176</v>
      </c>
      <c r="F1091" t="s">
        <v>68</v>
      </c>
      <c r="G1091" t="s">
        <v>1177</v>
      </c>
      <c r="H1091" t="s">
        <v>1178</v>
      </c>
      <c r="I1091" s="6">
        <v>5</v>
      </c>
      <c r="J1091" t="s">
        <v>95</v>
      </c>
      <c r="K1091" t="s">
        <v>2292</v>
      </c>
    </row>
    <row r="1092" spans="1:11">
      <c r="A1092" t="s">
        <v>2293</v>
      </c>
      <c r="B1092" s="5">
        <v>46210</v>
      </c>
      <c r="C1092" t="s">
        <v>2290</v>
      </c>
      <c r="D1092" t="s">
        <v>67</v>
      </c>
      <c r="E1092" t="s">
        <v>28</v>
      </c>
      <c r="F1092" t="s">
        <v>68</v>
      </c>
      <c r="G1092" t="s">
        <v>742</v>
      </c>
      <c r="H1092" t="s">
        <v>743</v>
      </c>
      <c r="I1092" s="6">
        <v>7.5</v>
      </c>
      <c r="J1092" t="s">
        <v>71</v>
      </c>
      <c r="K1092" t="s">
        <v>2294</v>
      </c>
    </row>
    <row r="1093" spans="1:11">
      <c r="A1093" t="s">
        <v>2295</v>
      </c>
      <c r="B1093" s="5">
        <v>46211</v>
      </c>
      <c r="C1093" t="s">
        <v>2290</v>
      </c>
      <c r="D1093" t="s">
        <v>67</v>
      </c>
      <c r="E1093" t="s">
        <v>29</v>
      </c>
      <c r="F1093" t="s">
        <v>68</v>
      </c>
      <c r="G1093" t="s">
        <v>201</v>
      </c>
      <c r="H1093" t="s">
        <v>202</v>
      </c>
      <c r="I1093" s="6">
        <v>8.5</v>
      </c>
      <c r="J1093" t="s">
        <v>71</v>
      </c>
      <c r="K1093" t="s">
        <v>360</v>
      </c>
    </row>
    <row r="1094" spans="1:11">
      <c r="A1094" t="s">
        <v>2296</v>
      </c>
      <c r="B1094" s="5">
        <v>46212</v>
      </c>
      <c r="C1094" t="s">
        <v>2290</v>
      </c>
      <c r="D1094" t="s">
        <v>67</v>
      </c>
      <c r="E1094" t="s">
        <v>29</v>
      </c>
      <c r="F1094" t="s">
        <v>68</v>
      </c>
      <c r="G1094" t="s">
        <v>748</v>
      </c>
      <c r="H1094" t="s">
        <v>749</v>
      </c>
      <c r="I1094" s="6">
        <v>6.5</v>
      </c>
      <c r="J1094" t="s">
        <v>71</v>
      </c>
      <c r="K1094" t="s">
        <v>1450</v>
      </c>
    </row>
    <row r="1095" spans="1:11">
      <c r="A1095" t="s">
        <v>2297</v>
      </c>
      <c r="B1095" s="5">
        <v>46217</v>
      </c>
      <c r="C1095" t="s">
        <v>2290</v>
      </c>
      <c r="D1095" t="s">
        <v>67</v>
      </c>
      <c r="E1095" t="s">
        <v>17</v>
      </c>
      <c r="F1095" t="s">
        <v>68</v>
      </c>
      <c r="G1095" t="s">
        <v>757</v>
      </c>
      <c r="H1095" t="s">
        <v>758</v>
      </c>
      <c r="I1095" s="6">
        <v>9.5</v>
      </c>
      <c r="J1095" t="s">
        <v>71</v>
      </c>
      <c r="K1095" t="s">
        <v>2298</v>
      </c>
    </row>
    <row r="1096" spans="1:11">
      <c r="A1096" t="s">
        <v>2299</v>
      </c>
      <c r="B1096" s="5">
        <v>46218</v>
      </c>
      <c r="C1096" t="s">
        <v>2290</v>
      </c>
      <c r="D1096" t="s">
        <v>67</v>
      </c>
      <c r="E1096" t="s">
        <v>28</v>
      </c>
      <c r="F1096" t="s">
        <v>68</v>
      </c>
      <c r="G1096" t="s">
        <v>219</v>
      </c>
      <c r="H1096" t="s">
        <v>220</v>
      </c>
      <c r="I1096" s="6">
        <v>8.5</v>
      </c>
      <c r="J1096" t="s">
        <v>71</v>
      </c>
      <c r="K1096" t="s">
        <v>221</v>
      </c>
    </row>
    <row r="1097" spans="1:11">
      <c r="A1097" t="s">
        <v>2300</v>
      </c>
      <c r="B1097" s="5">
        <v>46204</v>
      </c>
      <c r="C1097" t="s">
        <v>2301</v>
      </c>
      <c r="D1097" t="s">
        <v>67</v>
      </c>
      <c r="E1097" t="s">
        <v>9</v>
      </c>
      <c r="F1097" t="s">
        <v>68</v>
      </c>
      <c r="G1097" t="s">
        <v>926</v>
      </c>
      <c r="H1097" t="s">
        <v>927</v>
      </c>
      <c r="I1097" s="6">
        <v>9</v>
      </c>
      <c r="J1097" t="s">
        <v>71</v>
      </c>
      <c r="K1097" t="s">
        <v>2302</v>
      </c>
    </row>
    <row r="1098" spans="1:11">
      <c r="A1098" t="s">
        <v>2303</v>
      </c>
      <c r="B1098" s="5">
        <v>46205</v>
      </c>
      <c r="C1098" t="s">
        <v>2301</v>
      </c>
      <c r="D1098" t="s">
        <v>67</v>
      </c>
      <c r="E1098" t="s">
        <v>9</v>
      </c>
      <c r="F1098" t="s">
        <v>68</v>
      </c>
      <c r="G1098" t="s">
        <v>930</v>
      </c>
      <c r="H1098" t="s">
        <v>931</v>
      </c>
      <c r="I1098" s="6">
        <v>9</v>
      </c>
      <c r="J1098" t="s">
        <v>71</v>
      </c>
      <c r="K1098" t="s">
        <v>2304</v>
      </c>
    </row>
    <row r="1099" spans="1:11">
      <c r="A1099" t="s">
        <v>2305</v>
      </c>
      <c r="B1099" s="5">
        <v>46206</v>
      </c>
      <c r="C1099" t="s">
        <v>2301</v>
      </c>
      <c r="D1099" t="s">
        <v>67</v>
      </c>
      <c r="E1099" t="s">
        <v>9</v>
      </c>
      <c r="F1099" t="s">
        <v>68</v>
      </c>
      <c r="G1099" t="s">
        <v>856</v>
      </c>
      <c r="H1099" t="s">
        <v>857</v>
      </c>
      <c r="I1099" s="6">
        <v>9</v>
      </c>
      <c r="J1099" t="s">
        <v>71</v>
      </c>
      <c r="K1099" t="s">
        <v>1605</v>
      </c>
    </row>
    <row r="1100" spans="1:11">
      <c r="A1100" t="s">
        <v>2306</v>
      </c>
      <c r="B1100" s="5">
        <v>46209</v>
      </c>
      <c r="C1100" t="s">
        <v>2301</v>
      </c>
      <c r="D1100" t="s">
        <v>67</v>
      </c>
      <c r="E1100" t="s">
        <v>9</v>
      </c>
      <c r="F1100" t="s">
        <v>68</v>
      </c>
      <c r="G1100" t="s">
        <v>926</v>
      </c>
      <c r="H1100" t="s">
        <v>927</v>
      </c>
      <c r="I1100" s="6">
        <v>9.25</v>
      </c>
      <c r="J1100" t="s">
        <v>71</v>
      </c>
      <c r="K1100" t="s">
        <v>2286</v>
      </c>
    </row>
    <row r="1101" spans="1:11">
      <c r="A1101" t="s">
        <v>2307</v>
      </c>
      <c r="B1101" s="5">
        <v>46210</v>
      </c>
      <c r="C1101" t="s">
        <v>2301</v>
      </c>
      <c r="D1101" t="s">
        <v>67</v>
      </c>
      <c r="E1101" t="s">
        <v>9</v>
      </c>
      <c r="F1101" t="s">
        <v>68</v>
      </c>
      <c r="G1101" t="s">
        <v>856</v>
      </c>
      <c r="H1101" t="s">
        <v>857</v>
      </c>
      <c r="I1101" s="6">
        <v>8.5</v>
      </c>
      <c r="J1101" t="s">
        <v>71</v>
      </c>
      <c r="K1101" t="s">
        <v>2213</v>
      </c>
    </row>
    <row r="1102" spans="1:11">
      <c r="A1102" t="s">
        <v>2308</v>
      </c>
      <c r="B1102" s="5">
        <v>46211</v>
      </c>
      <c r="C1102" t="s">
        <v>2301</v>
      </c>
      <c r="D1102" t="s">
        <v>67</v>
      </c>
      <c r="E1102" t="s">
        <v>9</v>
      </c>
      <c r="F1102" t="s">
        <v>68</v>
      </c>
      <c r="G1102" t="s">
        <v>275</v>
      </c>
      <c r="H1102" t="s">
        <v>276</v>
      </c>
      <c r="I1102" s="6">
        <v>11.5</v>
      </c>
      <c r="J1102" t="s">
        <v>71</v>
      </c>
      <c r="K1102" t="s">
        <v>2309</v>
      </c>
    </row>
    <row r="1103" spans="1:11">
      <c r="A1103" t="s">
        <v>2310</v>
      </c>
      <c r="B1103" s="5">
        <v>46212</v>
      </c>
      <c r="C1103" t="s">
        <v>2301</v>
      </c>
      <c r="D1103" t="s">
        <v>67</v>
      </c>
      <c r="E1103" t="s">
        <v>9</v>
      </c>
      <c r="F1103" t="s">
        <v>68</v>
      </c>
      <c r="G1103" t="s">
        <v>275</v>
      </c>
      <c r="H1103" t="s">
        <v>276</v>
      </c>
      <c r="I1103" s="6">
        <v>6.5</v>
      </c>
      <c r="J1103" t="s">
        <v>71</v>
      </c>
      <c r="K1103" t="s">
        <v>2311</v>
      </c>
    </row>
    <row r="1104" spans="1:11">
      <c r="A1104" t="s">
        <v>2312</v>
      </c>
      <c r="B1104" s="5">
        <v>46213</v>
      </c>
      <c r="C1104" t="s">
        <v>2301</v>
      </c>
      <c r="D1104" t="s">
        <v>67</v>
      </c>
      <c r="E1104" t="s">
        <v>9</v>
      </c>
      <c r="F1104" t="s">
        <v>68</v>
      </c>
      <c r="G1104" t="s">
        <v>2313</v>
      </c>
      <c r="H1104" t="s">
        <v>2314</v>
      </c>
      <c r="I1104" s="6">
        <v>5.5</v>
      </c>
      <c r="J1104" t="s">
        <v>95</v>
      </c>
      <c r="K1104" t="s">
        <v>2315</v>
      </c>
    </row>
    <row r="1105" spans="1:11">
      <c r="A1105" t="s">
        <v>2316</v>
      </c>
      <c r="B1105" s="5">
        <v>46216</v>
      </c>
      <c r="C1105" t="s">
        <v>2301</v>
      </c>
      <c r="D1105" t="s">
        <v>67</v>
      </c>
      <c r="E1105" t="s">
        <v>9</v>
      </c>
      <c r="F1105" t="s">
        <v>68</v>
      </c>
      <c r="G1105" t="s">
        <v>509</v>
      </c>
      <c r="H1105" t="s">
        <v>510</v>
      </c>
      <c r="I1105" s="6">
        <v>6.5</v>
      </c>
      <c r="J1105" t="s">
        <v>71</v>
      </c>
      <c r="K1105" t="s">
        <v>1617</v>
      </c>
    </row>
    <row r="1106" spans="1:11">
      <c r="A1106" t="s">
        <v>2317</v>
      </c>
      <c r="B1106" s="5">
        <v>46217</v>
      </c>
      <c r="C1106" t="s">
        <v>2301</v>
      </c>
      <c r="D1106" t="s">
        <v>67</v>
      </c>
      <c r="E1106" t="s">
        <v>9</v>
      </c>
      <c r="F1106" t="s">
        <v>68</v>
      </c>
      <c r="G1106" t="s">
        <v>509</v>
      </c>
      <c r="H1106" t="s">
        <v>510</v>
      </c>
      <c r="I1106" s="6">
        <v>8.5</v>
      </c>
      <c r="J1106" t="s">
        <v>71</v>
      </c>
      <c r="K1106" t="s">
        <v>1619</v>
      </c>
    </row>
    <row r="1107" spans="1:11">
      <c r="A1107" t="s">
        <v>2318</v>
      </c>
      <c r="B1107" s="5">
        <v>46204</v>
      </c>
      <c r="C1107" t="s">
        <v>2319</v>
      </c>
      <c r="D1107" t="s">
        <v>67</v>
      </c>
      <c r="E1107" t="s">
        <v>29</v>
      </c>
      <c r="F1107" t="s">
        <v>179</v>
      </c>
      <c r="G1107" t="s">
        <v>201</v>
      </c>
      <c r="H1107" t="s">
        <v>202</v>
      </c>
      <c r="I1107" s="6">
        <v>7</v>
      </c>
      <c r="J1107" t="s">
        <v>71</v>
      </c>
      <c r="K1107" t="s">
        <v>2320</v>
      </c>
    </row>
    <row r="1108" spans="1:11">
      <c r="A1108" t="s">
        <v>2321</v>
      </c>
      <c r="B1108" s="5">
        <v>46205</v>
      </c>
      <c r="C1108" t="s">
        <v>2319</v>
      </c>
      <c r="D1108" t="s">
        <v>67</v>
      </c>
      <c r="E1108" t="s">
        <v>9</v>
      </c>
      <c r="F1108" t="s">
        <v>179</v>
      </c>
      <c r="G1108" t="s">
        <v>1975</v>
      </c>
      <c r="H1108" t="s">
        <v>1976</v>
      </c>
      <c r="I1108" s="6">
        <v>12.5</v>
      </c>
      <c r="J1108" t="s">
        <v>95</v>
      </c>
      <c r="K1108" t="s">
        <v>1977</v>
      </c>
    </row>
    <row r="1109" spans="1:11">
      <c r="A1109" t="s">
        <v>2322</v>
      </c>
      <c r="B1109" s="5">
        <v>46206</v>
      </c>
      <c r="C1109" t="s">
        <v>2319</v>
      </c>
      <c r="D1109" t="s">
        <v>67</v>
      </c>
      <c r="E1109" t="s">
        <v>1176</v>
      </c>
      <c r="F1109" t="s">
        <v>179</v>
      </c>
      <c r="G1109" t="s">
        <v>1177</v>
      </c>
      <c r="H1109" t="s">
        <v>1178</v>
      </c>
      <c r="I1109" s="6">
        <v>5</v>
      </c>
      <c r="J1109" t="s">
        <v>95</v>
      </c>
      <c r="K1109" t="s">
        <v>2323</v>
      </c>
    </row>
    <row r="1110" spans="1:11">
      <c r="A1110" t="s">
        <v>2324</v>
      </c>
      <c r="B1110" s="5">
        <v>46210</v>
      </c>
      <c r="C1110" t="s">
        <v>2319</v>
      </c>
      <c r="D1110" t="s">
        <v>67</v>
      </c>
      <c r="E1110" t="s">
        <v>28</v>
      </c>
      <c r="F1110" t="s">
        <v>179</v>
      </c>
      <c r="G1110" t="s">
        <v>742</v>
      </c>
      <c r="H1110" t="s">
        <v>743</v>
      </c>
      <c r="I1110" s="6">
        <v>7.5</v>
      </c>
      <c r="J1110" t="s">
        <v>71</v>
      </c>
      <c r="K1110" t="s">
        <v>2325</v>
      </c>
    </row>
    <row r="1111" spans="1:11">
      <c r="A1111" t="s">
        <v>2326</v>
      </c>
      <c r="B1111" s="5">
        <v>46211</v>
      </c>
      <c r="C1111" t="s">
        <v>2319</v>
      </c>
      <c r="D1111" t="s">
        <v>67</v>
      </c>
      <c r="E1111" t="s">
        <v>29</v>
      </c>
      <c r="F1111" t="s">
        <v>179</v>
      </c>
      <c r="G1111" t="s">
        <v>201</v>
      </c>
      <c r="H1111" t="s">
        <v>202</v>
      </c>
      <c r="I1111" s="6">
        <v>8.5</v>
      </c>
      <c r="J1111" t="s">
        <v>71</v>
      </c>
      <c r="K1111" t="s">
        <v>203</v>
      </c>
    </row>
    <row r="1112" spans="1:11">
      <c r="A1112" t="s">
        <v>2327</v>
      </c>
      <c r="B1112" s="5">
        <v>46212</v>
      </c>
      <c r="C1112" t="s">
        <v>2319</v>
      </c>
      <c r="D1112" t="s">
        <v>67</v>
      </c>
      <c r="E1112" t="s">
        <v>29</v>
      </c>
      <c r="F1112" t="s">
        <v>179</v>
      </c>
      <c r="G1112" t="s">
        <v>2328</v>
      </c>
      <c r="H1112" t="s">
        <v>2329</v>
      </c>
      <c r="I1112" s="6">
        <v>31</v>
      </c>
      <c r="J1112" t="s">
        <v>95</v>
      </c>
      <c r="K1112" t="s">
        <v>2330</v>
      </c>
    </row>
    <row r="1113" spans="1:11">
      <c r="A1113" t="s">
        <v>2331</v>
      </c>
      <c r="B1113" s="5">
        <v>46213</v>
      </c>
      <c r="C1113" t="s">
        <v>2319</v>
      </c>
      <c r="D1113" t="s">
        <v>67</v>
      </c>
      <c r="E1113" t="s">
        <v>9</v>
      </c>
      <c r="F1113" t="s">
        <v>179</v>
      </c>
      <c r="G1113" t="s">
        <v>184</v>
      </c>
      <c r="H1113" t="s">
        <v>185</v>
      </c>
      <c r="I1113" s="6">
        <v>7.5</v>
      </c>
      <c r="J1113" t="s">
        <v>71</v>
      </c>
      <c r="K1113" t="s">
        <v>2332</v>
      </c>
    </row>
    <row r="1114" spans="1:11">
      <c r="A1114" t="s">
        <v>2333</v>
      </c>
      <c r="B1114" s="5">
        <v>46216</v>
      </c>
      <c r="C1114" t="s">
        <v>2319</v>
      </c>
      <c r="D1114" t="s">
        <v>67</v>
      </c>
      <c r="E1114" t="s">
        <v>29</v>
      </c>
      <c r="F1114" t="s">
        <v>179</v>
      </c>
      <c r="G1114" t="s">
        <v>1190</v>
      </c>
      <c r="H1114" t="s">
        <v>1191</v>
      </c>
      <c r="I1114" s="6">
        <v>1.25</v>
      </c>
      <c r="J1114" t="s">
        <v>71</v>
      </c>
      <c r="K1114" t="s">
        <v>2334</v>
      </c>
    </row>
    <row r="1115" spans="1:11">
      <c r="A1115" t="s">
        <v>2335</v>
      </c>
      <c r="B1115" s="5">
        <v>46217</v>
      </c>
      <c r="C1115" t="s">
        <v>2319</v>
      </c>
      <c r="D1115" t="s">
        <v>67</v>
      </c>
      <c r="E1115" t="s">
        <v>29</v>
      </c>
      <c r="F1115" t="s">
        <v>179</v>
      </c>
      <c r="G1115" t="s">
        <v>1433</v>
      </c>
      <c r="H1115" t="s">
        <v>1434</v>
      </c>
      <c r="I1115" s="6">
        <v>9.5</v>
      </c>
      <c r="J1115" t="s">
        <v>95</v>
      </c>
      <c r="K1115" t="s">
        <v>2336</v>
      </c>
    </row>
    <row r="1116" spans="1:11">
      <c r="A1116" t="s">
        <v>2337</v>
      </c>
      <c r="B1116" s="5">
        <v>46218</v>
      </c>
      <c r="C1116" t="s">
        <v>2319</v>
      </c>
      <c r="D1116" t="s">
        <v>67</v>
      </c>
      <c r="E1116" t="s">
        <v>29</v>
      </c>
      <c r="F1116" t="s">
        <v>179</v>
      </c>
      <c r="G1116" t="s">
        <v>1437</v>
      </c>
      <c r="H1116" t="s">
        <v>1438</v>
      </c>
      <c r="I1116" s="6">
        <v>4.92</v>
      </c>
      <c r="J1116" t="s">
        <v>71</v>
      </c>
      <c r="K1116" t="s">
        <v>2338</v>
      </c>
    </row>
    <row r="1117" spans="1:11">
      <c r="A1117" t="s">
        <v>2339</v>
      </c>
      <c r="B1117" s="5">
        <v>46204</v>
      </c>
      <c r="C1117" t="s">
        <v>2340</v>
      </c>
      <c r="D1117" t="s">
        <v>67</v>
      </c>
      <c r="E1117" t="s">
        <v>17</v>
      </c>
      <c r="F1117" t="s">
        <v>179</v>
      </c>
      <c r="G1117" t="s">
        <v>244</v>
      </c>
      <c r="H1117" t="s">
        <v>245</v>
      </c>
      <c r="I1117" s="6">
        <v>4</v>
      </c>
      <c r="J1117" t="s">
        <v>71</v>
      </c>
      <c r="K1117" t="s">
        <v>1626</v>
      </c>
    </row>
    <row r="1118" spans="1:11">
      <c r="A1118" t="s">
        <v>2341</v>
      </c>
      <c r="B1118" s="5">
        <v>46205</v>
      </c>
      <c r="C1118" t="s">
        <v>2340</v>
      </c>
      <c r="D1118" t="s">
        <v>67</v>
      </c>
      <c r="E1118" t="s">
        <v>17</v>
      </c>
      <c r="F1118" t="s">
        <v>179</v>
      </c>
      <c r="G1118" t="s">
        <v>248</v>
      </c>
      <c r="H1118" t="s">
        <v>249</v>
      </c>
      <c r="I1118" s="6">
        <v>8.5</v>
      </c>
      <c r="J1118" t="s">
        <v>71</v>
      </c>
      <c r="K1118" t="s">
        <v>1628</v>
      </c>
    </row>
    <row r="1119" spans="1:11">
      <c r="A1119" t="s">
        <v>2342</v>
      </c>
      <c r="B1119" s="5">
        <v>46206</v>
      </c>
      <c r="C1119" t="s">
        <v>2340</v>
      </c>
      <c r="D1119" t="s">
        <v>67</v>
      </c>
      <c r="E1119" t="s">
        <v>17</v>
      </c>
      <c r="F1119" t="s">
        <v>68</v>
      </c>
      <c r="G1119" t="s">
        <v>252</v>
      </c>
      <c r="H1119" t="s">
        <v>249</v>
      </c>
      <c r="I1119" s="6">
        <v>8.5</v>
      </c>
      <c r="J1119" t="s">
        <v>71</v>
      </c>
      <c r="K1119" t="s">
        <v>253</v>
      </c>
    </row>
    <row r="1120" spans="1:11">
      <c r="A1120" t="s">
        <v>2343</v>
      </c>
      <c r="B1120" s="5">
        <v>46209</v>
      </c>
      <c r="C1120" t="s">
        <v>2340</v>
      </c>
      <c r="D1120" t="s">
        <v>67</v>
      </c>
      <c r="E1120" t="s">
        <v>17</v>
      </c>
      <c r="F1120" t="s">
        <v>179</v>
      </c>
      <c r="G1120" t="s">
        <v>1203</v>
      </c>
      <c r="H1120" t="s">
        <v>249</v>
      </c>
      <c r="I1120" s="6">
        <v>3.5</v>
      </c>
      <c r="J1120" t="s">
        <v>71</v>
      </c>
      <c r="K1120" t="s">
        <v>2344</v>
      </c>
    </row>
    <row r="1121" spans="1:11">
      <c r="A1121" t="s">
        <v>2345</v>
      </c>
      <c r="B1121" s="5">
        <v>46210</v>
      </c>
      <c r="C1121" t="s">
        <v>2340</v>
      </c>
      <c r="D1121" t="s">
        <v>67</v>
      </c>
      <c r="E1121" t="s">
        <v>446</v>
      </c>
      <c r="F1121" t="s">
        <v>68</v>
      </c>
      <c r="G1121" t="s">
        <v>447</v>
      </c>
      <c r="H1121" t="s">
        <v>448</v>
      </c>
      <c r="I1121" s="6">
        <v>18</v>
      </c>
      <c r="J1121" t="s">
        <v>95</v>
      </c>
      <c r="K1121" t="s">
        <v>449</v>
      </c>
    </row>
    <row r="1122" spans="1:11">
      <c r="A1122" t="s">
        <v>2346</v>
      </c>
      <c r="B1122" s="5">
        <v>46217</v>
      </c>
      <c r="C1122" t="s">
        <v>2340</v>
      </c>
      <c r="D1122" t="s">
        <v>67</v>
      </c>
      <c r="E1122" t="s">
        <v>17</v>
      </c>
      <c r="F1122" t="s">
        <v>179</v>
      </c>
      <c r="G1122" t="s">
        <v>671</v>
      </c>
      <c r="H1122" t="s">
        <v>672</v>
      </c>
      <c r="I1122" s="6">
        <v>8</v>
      </c>
      <c r="J1122" t="s">
        <v>71</v>
      </c>
      <c r="K1122" t="s">
        <v>1598</v>
      </c>
    </row>
    <row r="1123" spans="1:11">
      <c r="A1123" t="s">
        <v>2347</v>
      </c>
      <c r="B1123" s="5">
        <v>46204</v>
      </c>
      <c r="C1123" t="s">
        <v>2348</v>
      </c>
      <c r="D1123" t="s">
        <v>67</v>
      </c>
      <c r="E1123" t="s">
        <v>40</v>
      </c>
      <c r="F1123" t="s">
        <v>82</v>
      </c>
      <c r="G1123" t="s">
        <v>521</v>
      </c>
      <c r="H1123" t="s">
        <v>522</v>
      </c>
      <c r="I1123" s="6">
        <v>9</v>
      </c>
      <c r="J1123" t="s">
        <v>71</v>
      </c>
      <c r="K1123" t="s">
        <v>1113</v>
      </c>
    </row>
    <row r="1124" spans="1:11">
      <c r="A1124" t="s">
        <v>2349</v>
      </c>
      <c r="B1124" s="5">
        <v>46205</v>
      </c>
      <c r="C1124" t="s">
        <v>2348</v>
      </c>
      <c r="D1124" t="s">
        <v>67</v>
      </c>
      <c r="E1124" t="s">
        <v>40</v>
      </c>
      <c r="F1124" t="s">
        <v>82</v>
      </c>
      <c r="G1124" t="s">
        <v>582</v>
      </c>
      <c r="H1124" t="s">
        <v>583</v>
      </c>
      <c r="I1124" s="6">
        <v>8</v>
      </c>
      <c r="J1124" t="s">
        <v>71</v>
      </c>
      <c r="K1124" t="s">
        <v>584</v>
      </c>
    </row>
    <row r="1125" spans="1:11">
      <c r="A1125" t="s">
        <v>2350</v>
      </c>
      <c r="B1125" s="5">
        <v>46206</v>
      </c>
      <c r="C1125" t="s">
        <v>2348</v>
      </c>
      <c r="D1125" t="s">
        <v>67</v>
      </c>
      <c r="E1125" t="s">
        <v>40</v>
      </c>
      <c r="F1125" t="s">
        <v>68</v>
      </c>
      <c r="G1125" t="s">
        <v>117</v>
      </c>
      <c r="H1125" t="s">
        <v>118</v>
      </c>
      <c r="I1125" s="6">
        <v>10</v>
      </c>
      <c r="J1125" t="s">
        <v>71</v>
      </c>
      <c r="K1125" t="s">
        <v>1949</v>
      </c>
    </row>
    <row r="1126" spans="1:11">
      <c r="A1126" t="s">
        <v>2351</v>
      </c>
      <c r="B1126" s="5">
        <v>46207</v>
      </c>
      <c r="C1126" t="s">
        <v>2348</v>
      </c>
      <c r="D1126" t="s">
        <v>67</v>
      </c>
      <c r="E1126" t="s">
        <v>40</v>
      </c>
      <c r="F1126" t="s">
        <v>68</v>
      </c>
      <c r="G1126" t="s">
        <v>117</v>
      </c>
      <c r="H1126" t="s">
        <v>118</v>
      </c>
      <c r="I1126" s="6">
        <v>10.5</v>
      </c>
      <c r="J1126" t="s">
        <v>71</v>
      </c>
      <c r="K1126" t="s">
        <v>1149</v>
      </c>
    </row>
    <row r="1127" spans="1:11">
      <c r="A1127" t="s">
        <v>2352</v>
      </c>
      <c r="B1127" s="5">
        <v>46208</v>
      </c>
      <c r="C1127" t="s">
        <v>2348</v>
      </c>
      <c r="D1127" t="s">
        <v>67</v>
      </c>
      <c r="E1127" t="s">
        <v>40</v>
      </c>
      <c r="F1127" t="s">
        <v>68</v>
      </c>
      <c r="G1127" t="s">
        <v>117</v>
      </c>
      <c r="H1127" t="s">
        <v>118</v>
      </c>
      <c r="I1127" s="6">
        <v>10.5</v>
      </c>
      <c r="J1127" t="s">
        <v>71</v>
      </c>
      <c r="K1127" t="s">
        <v>1149</v>
      </c>
    </row>
    <row r="1128" spans="1:11">
      <c r="A1128" t="s">
        <v>2353</v>
      </c>
      <c r="B1128" s="5">
        <v>46209</v>
      </c>
      <c r="C1128" t="s">
        <v>2348</v>
      </c>
      <c r="D1128" t="s">
        <v>67</v>
      </c>
      <c r="E1128" t="s">
        <v>40</v>
      </c>
      <c r="F1128" t="s">
        <v>82</v>
      </c>
      <c r="G1128" t="s">
        <v>606</v>
      </c>
      <c r="H1128" t="s">
        <v>607</v>
      </c>
      <c r="I1128" s="6">
        <v>9</v>
      </c>
      <c r="J1128" t="s">
        <v>71</v>
      </c>
      <c r="K1128" t="s">
        <v>608</v>
      </c>
    </row>
    <row r="1129" spans="1:11">
      <c r="A1129" t="s">
        <v>2354</v>
      </c>
      <c r="B1129" s="5">
        <v>46210</v>
      </c>
      <c r="C1129" t="s">
        <v>2348</v>
      </c>
      <c r="D1129" t="s">
        <v>67</v>
      </c>
      <c r="E1129" t="s">
        <v>40</v>
      </c>
      <c r="F1129" t="s">
        <v>82</v>
      </c>
      <c r="G1129" t="s">
        <v>606</v>
      </c>
      <c r="H1129" t="s">
        <v>607</v>
      </c>
      <c r="I1129" s="6">
        <v>7</v>
      </c>
      <c r="J1129" t="s">
        <v>71</v>
      </c>
      <c r="K1129" t="s">
        <v>2355</v>
      </c>
    </row>
    <row r="1130" spans="1:11">
      <c r="A1130" t="s">
        <v>2356</v>
      </c>
      <c r="B1130" s="5">
        <v>46211</v>
      </c>
      <c r="C1130" t="s">
        <v>2348</v>
      </c>
      <c r="D1130" t="s">
        <v>67</v>
      </c>
      <c r="E1130" t="s">
        <v>40</v>
      </c>
      <c r="F1130" t="s">
        <v>82</v>
      </c>
      <c r="G1130" t="s">
        <v>83</v>
      </c>
      <c r="H1130" t="s">
        <v>84</v>
      </c>
      <c r="I1130" s="6">
        <v>8</v>
      </c>
      <c r="J1130" t="s">
        <v>71</v>
      </c>
      <c r="K1130" t="s">
        <v>87</v>
      </c>
    </row>
    <row r="1131" spans="1:11">
      <c r="A1131" t="s">
        <v>2357</v>
      </c>
      <c r="B1131" s="5">
        <v>46212</v>
      </c>
      <c r="C1131" t="s">
        <v>2348</v>
      </c>
      <c r="D1131" t="s">
        <v>67</v>
      </c>
      <c r="E1131" t="s">
        <v>40</v>
      </c>
      <c r="F1131" t="s">
        <v>82</v>
      </c>
      <c r="G1131" t="s">
        <v>1366</v>
      </c>
      <c r="H1131" t="s">
        <v>1367</v>
      </c>
      <c r="I1131" s="6">
        <v>8.25</v>
      </c>
      <c r="J1131" t="s">
        <v>71</v>
      </c>
      <c r="K1131" t="s">
        <v>2358</v>
      </c>
    </row>
    <row r="1132" spans="1:11">
      <c r="A1132" t="s">
        <v>2359</v>
      </c>
      <c r="B1132" s="5">
        <v>46213</v>
      </c>
      <c r="C1132" t="s">
        <v>2348</v>
      </c>
      <c r="D1132" t="s">
        <v>67</v>
      </c>
      <c r="E1132" t="s">
        <v>40</v>
      </c>
      <c r="F1132" t="s">
        <v>82</v>
      </c>
      <c r="G1132" t="s">
        <v>335</v>
      </c>
      <c r="H1132" t="s">
        <v>336</v>
      </c>
      <c r="I1132" s="6">
        <v>8</v>
      </c>
      <c r="J1132" t="s">
        <v>71</v>
      </c>
      <c r="K1132" t="s">
        <v>337</v>
      </c>
    </row>
    <row r="1133" spans="1:11">
      <c r="A1133" t="s">
        <v>2360</v>
      </c>
      <c r="B1133" s="5">
        <v>46214</v>
      </c>
      <c r="C1133" t="s">
        <v>2348</v>
      </c>
      <c r="D1133" t="s">
        <v>67</v>
      </c>
      <c r="E1133" t="s">
        <v>40</v>
      </c>
      <c r="F1133" t="s">
        <v>82</v>
      </c>
      <c r="G1133" t="s">
        <v>544</v>
      </c>
      <c r="H1133" t="s">
        <v>118</v>
      </c>
      <c r="I1133" s="6">
        <v>10.5</v>
      </c>
      <c r="J1133" t="s">
        <v>71</v>
      </c>
      <c r="K1133" t="s">
        <v>1957</v>
      </c>
    </row>
    <row r="1134" spans="1:11">
      <c r="A1134" t="s">
        <v>2361</v>
      </c>
      <c r="B1134" s="5">
        <v>46215</v>
      </c>
      <c r="C1134" t="s">
        <v>2348</v>
      </c>
      <c r="D1134" t="s">
        <v>67</v>
      </c>
      <c r="E1134" t="s">
        <v>40</v>
      </c>
      <c r="F1134" t="s">
        <v>82</v>
      </c>
      <c r="G1134" t="s">
        <v>544</v>
      </c>
      <c r="H1134" t="s">
        <v>118</v>
      </c>
      <c r="I1134" s="6">
        <v>5.5</v>
      </c>
      <c r="J1134" t="s">
        <v>71</v>
      </c>
      <c r="K1134" t="s">
        <v>1959</v>
      </c>
    </row>
    <row r="1135" spans="1:11">
      <c r="A1135" t="s">
        <v>2362</v>
      </c>
      <c r="B1135" s="5">
        <v>46216</v>
      </c>
      <c r="C1135" t="s">
        <v>2348</v>
      </c>
      <c r="D1135" t="s">
        <v>67</v>
      </c>
      <c r="E1135" t="s">
        <v>40</v>
      </c>
      <c r="F1135" t="s">
        <v>68</v>
      </c>
      <c r="G1135" t="s">
        <v>292</v>
      </c>
      <c r="H1135" t="s">
        <v>293</v>
      </c>
      <c r="I1135" s="6">
        <v>9.5</v>
      </c>
      <c r="J1135" t="s">
        <v>71</v>
      </c>
      <c r="K1135" t="s">
        <v>1258</v>
      </c>
    </row>
    <row r="1136" spans="1:11">
      <c r="A1136" t="s">
        <v>2363</v>
      </c>
      <c r="B1136" s="5">
        <v>46204</v>
      </c>
      <c r="C1136" t="s">
        <v>2364</v>
      </c>
      <c r="D1136" t="s">
        <v>67</v>
      </c>
      <c r="E1136" t="s">
        <v>40</v>
      </c>
      <c r="F1136" t="s">
        <v>68</v>
      </c>
      <c r="G1136" t="s">
        <v>1531</v>
      </c>
      <c r="H1136" t="s">
        <v>528</v>
      </c>
      <c r="I1136" s="6">
        <v>10.5</v>
      </c>
      <c r="J1136" t="s">
        <v>71</v>
      </c>
      <c r="K1136" t="s">
        <v>1532</v>
      </c>
    </row>
    <row r="1137" spans="1:11">
      <c r="A1137" t="s">
        <v>2365</v>
      </c>
      <c r="B1137" s="5">
        <v>46205</v>
      </c>
      <c r="C1137" t="s">
        <v>2364</v>
      </c>
      <c r="D1137" t="s">
        <v>67</v>
      </c>
      <c r="E1137" t="s">
        <v>40</v>
      </c>
      <c r="F1137" t="s">
        <v>68</v>
      </c>
      <c r="G1137" t="s">
        <v>1531</v>
      </c>
      <c r="H1137" t="s">
        <v>528</v>
      </c>
      <c r="I1137" s="6">
        <v>10.5</v>
      </c>
      <c r="J1137" t="s">
        <v>71</v>
      </c>
      <c r="K1137" t="s">
        <v>1532</v>
      </c>
    </row>
    <row r="1138" spans="1:11">
      <c r="A1138" t="s">
        <v>2366</v>
      </c>
      <c r="B1138" s="5">
        <v>46206</v>
      </c>
      <c r="C1138" t="s">
        <v>2364</v>
      </c>
      <c r="D1138" t="s">
        <v>67</v>
      </c>
      <c r="E1138" t="s">
        <v>40</v>
      </c>
      <c r="F1138" t="s">
        <v>68</v>
      </c>
      <c r="G1138" t="s">
        <v>1531</v>
      </c>
      <c r="H1138" t="s">
        <v>528</v>
      </c>
      <c r="I1138" s="6">
        <v>10.5</v>
      </c>
      <c r="J1138" t="s">
        <v>71</v>
      </c>
      <c r="K1138" t="s">
        <v>1532</v>
      </c>
    </row>
    <row r="1139" spans="1:11">
      <c r="A1139" t="s">
        <v>2367</v>
      </c>
      <c r="B1139" s="5">
        <v>46209</v>
      </c>
      <c r="C1139" t="s">
        <v>2364</v>
      </c>
      <c r="D1139" t="s">
        <v>67</v>
      </c>
      <c r="E1139" t="s">
        <v>40</v>
      </c>
      <c r="F1139" t="s">
        <v>68</v>
      </c>
      <c r="G1139" t="s">
        <v>1531</v>
      </c>
      <c r="H1139" t="s">
        <v>528</v>
      </c>
      <c r="I1139" s="6">
        <v>10.5</v>
      </c>
      <c r="J1139" t="s">
        <v>71</v>
      </c>
      <c r="K1139" t="s">
        <v>1532</v>
      </c>
    </row>
    <row r="1140" spans="1:11">
      <c r="A1140" t="s">
        <v>2368</v>
      </c>
      <c r="B1140" s="5">
        <v>46210</v>
      </c>
      <c r="C1140" t="s">
        <v>2364</v>
      </c>
      <c r="D1140" t="s">
        <v>67</v>
      </c>
      <c r="E1140" t="s">
        <v>40</v>
      </c>
      <c r="F1140" t="s">
        <v>68</v>
      </c>
      <c r="G1140" t="s">
        <v>1531</v>
      </c>
      <c r="H1140" t="s">
        <v>528</v>
      </c>
      <c r="I1140" s="6">
        <v>10.5</v>
      </c>
      <c r="J1140" t="s">
        <v>71</v>
      </c>
      <c r="K1140" t="s">
        <v>1532</v>
      </c>
    </row>
    <row r="1141" spans="1:11">
      <c r="A1141" t="s">
        <v>2369</v>
      </c>
      <c r="B1141" s="5">
        <v>46211</v>
      </c>
      <c r="C1141" t="s">
        <v>2364</v>
      </c>
      <c r="D1141" t="s">
        <v>67</v>
      </c>
      <c r="E1141" t="s">
        <v>40</v>
      </c>
      <c r="F1141" t="s">
        <v>68</v>
      </c>
      <c r="G1141" t="s">
        <v>1531</v>
      </c>
      <c r="H1141" t="s">
        <v>528</v>
      </c>
      <c r="I1141" s="6">
        <v>10.5</v>
      </c>
      <c r="J1141" t="s">
        <v>71</v>
      </c>
      <c r="K1141" t="s">
        <v>1532</v>
      </c>
    </row>
    <row r="1142" spans="1:11">
      <c r="A1142" t="s">
        <v>2370</v>
      </c>
      <c r="B1142" s="5">
        <v>46213</v>
      </c>
      <c r="C1142" t="s">
        <v>2364</v>
      </c>
      <c r="D1142" t="s">
        <v>67</v>
      </c>
      <c r="E1142" t="s">
        <v>40</v>
      </c>
      <c r="F1142" t="s">
        <v>68</v>
      </c>
      <c r="G1142" t="s">
        <v>1531</v>
      </c>
      <c r="H1142" t="s">
        <v>528</v>
      </c>
      <c r="I1142" s="6">
        <v>10.5</v>
      </c>
      <c r="J1142" t="s">
        <v>71</v>
      </c>
      <c r="K1142" t="s">
        <v>1532</v>
      </c>
    </row>
    <row r="1143" spans="1:11">
      <c r="A1143" t="s">
        <v>2371</v>
      </c>
      <c r="B1143" s="5">
        <v>46216</v>
      </c>
      <c r="C1143" t="s">
        <v>2364</v>
      </c>
      <c r="D1143" t="s">
        <v>67</v>
      </c>
      <c r="E1143" t="s">
        <v>40</v>
      </c>
      <c r="F1143" t="s">
        <v>68</v>
      </c>
      <c r="G1143" t="s">
        <v>1531</v>
      </c>
      <c r="H1143" t="s">
        <v>528</v>
      </c>
      <c r="I1143" s="6">
        <v>10.5</v>
      </c>
      <c r="J1143" t="s">
        <v>71</v>
      </c>
      <c r="K1143" t="s">
        <v>1532</v>
      </c>
    </row>
    <row r="1144" spans="1:11">
      <c r="A1144" t="s">
        <v>2372</v>
      </c>
      <c r="B1144" s="5">
        <v>46217</v>
      </c>
      <c r="C1144" t="s">
        <v>2364</v>
      </c>
      <c r="D1144" t="s">
        <v>67</v>
      </c>
      <c r="E1144" t="s">
        <v>40</v>
      </c>
      <c r="F1144" t="s">
        <v>68</v>
      </c>
      <c r="G1144" t="s">
        <v>1531</v>
      </c>
      <c r="H1144" t="s">
        <v>528</v>
      </c>
      <c r="I1144" s="6">
        <v>10.5</v>
      </c>
      <c r="J1144" t="s">
        <v>71</v>
      </c>
      <c r="K1144" t="s">
        <v>1532</v>
      </c>
    </row>
    <row r="1145" spans="1:11">
      <c r="A1145" t="s">
        <v>2373</v>
      </c>
      <c r="B1145" s="5">
        <v>46218</v>
      </c>
      <c r="C1145" t="s">
        <v>2364</v>
      </c>
      <c r="D1145" t="s">
        <v>67</v>
      </c>
      <c r="E1145" t="s">
        <v>40</v>
      </c>
      <c r="F1145" t="s">
        <v>68</v>
      </c>
      <c r="G1145" t="s">
        <v>1531</v>
      </c>
      <c r="H1145" t="s">
        <v>528</v>
      </c>
      <c r="I1145" s="6">
        <v>10.5</v>
      </c>
      <c r="J1145" t="s">
        <v>71</v>
      </c>
      <c r="K1145" t="s">
        <v>1532</v>
      </c>
    </row>
    <row r="1146" spans="1:11">
      <c r="A1146" t="s">
        <v>2374</v>
      </c>
      <c r="B1146" s="5">
        <v>46204</v>
      </c>
      <c r="C1146" t="s">
        <v>2375</v>
      </c>
      <c r="D1146" t="s">
        <v>67</v>
      </c>
      <c r="E1146" t="s">
        <v>24</v>
      </c>
      <c r="F1146" t="s">
        <v>922</v>
      </c>
      <c r="G1146" t="s">
        <v>812</v>
      </c>
      <c r="H1146" t="s">
        <v>399</v>
      </c>
      <c r="I1146" s="6">
        <v>3</v>
      </c>
      <c r="J1146" t="s">
        <v>71</v>
      </c>
      <c r="K1146" t="s">
        <v>2376</v>
      </c>
    </row>
    <row r="1147" spans="1:11">
      <c r="A1147" t="s">
        <v>2377</v>
      </c>
      <c r="B1147" s="5">
        <v>46210</v>
      </c>
      <c r="C1147" t="s">
        <v>2375</v>
      </c>
      <c r="D1147" t="s">
        <v>67</v>
      </c>
      <c r="E1147" t="s">
        <v>24</v>
      </c>
      <c r="F1147" t="s">
        <v>922</v>
      </c>
      <c r="G1147" t="s">
        <v>823</v>
      </c>
      <c r="H1147" t="s">
        <v>399</v>
      </c>
      <c r="I1147" s="6">
        <v>4</v>
      </c>
      <c r="J1147" t="s">
        <v>71</v>
      </c>
      <c r="K1147" t="s">
        <v>2378</v>
      </c>
    </row>
    <row r="1148" spans="1:11">
      <c r="A1148" t="s">
        <v>2379</v>
      </c>
      <c r="B1148" s="5">
        <v>46206</v>
      </c>
      <c r="C1148" t="s">
        <v>2380</v>
      </c>
      <c r="D1148" t="s">
        <v>67</v>
      </c>
      <c r="E1148" t="s">
        <v>24</v>
      </c>
      <c r="F1148" t="s">
        <v>179</v>
      </c>
      <c r="G1148" t="s">
        <v>378</v>
      </c>
      <c r="H1148" t="s">
        <v>379</v>
      </c>
      <c r="I1148" s="6">
        <v>11.5</v>
      </c>
      <c r="J1148" t="s">
        <v>71</v>
      </c>
      <c r="K1148" t="s">
        <v>2381</v>
      </c>
    </row>
    <row r="1149" spans="1:11">
      <c r="A1149" t="s">
        <v>2382</v>
      </c>
      <c r="B1149" s="5">
        <v>46207</v>
      </c>
      <c r="C1149" t="s">
        <v>2380</v>
      </c>
      <c r="D1149" t="s">
        <v>67</v>
      </c>
      <c r="E1149" t="s">
        <v>24</v>
      </c>
      <c r="F1149" t="s">
        <v>179</v>
      </c>
      <c r="G1149" t="s">
        <v>378</v>
      </c>
      <c r="H1149" t="s">
        <v>379</v>
      </c>
      <c r="I1149" s="6">
        <v>11</v>
      </c>
      <c r="J1149" t="s">
        <v>71</v>
      </c>
      <c r="K1149" t="s">
        <v>2383</v>
      </c>
    </row>
    <row r="1150" spans="1:11">
      <c r="A1150" t="s">
        <v>2384</v>
      </c>
      <c r="B1150" s="5">
        <v>46208</v>
      </c>
      <c r="C1150" t="s">
        <v>2380</v>
      </c>
      <c r="D1150" t="s">
        <v>67</v>
      </c>
      <c r="E1150" t="s">
        <v>24</v>
      </c>
      <c r="F1150" t="s">
        <v>179</v>
      </c>
      <c r="G1150" t="s">
        <v>378</v>
      </c>
      <c r="H1150" t="s">
        <v>379</v>
      </c>
      <c r="I1150" s="6">
        <v>11</v>
      </c>
      <c r="J1150" t="s">
        <v>71</v>
      </c>
      <c r="K1150" t="s">
        <v>2383</v>
      </c>
    </row>
    <row r="1151" spans="1:11">
      <c r="A1151" t="s">
        <v>2385</v>
      </c>
      <c r="B1151" s="5">
        <v>46209</v>
      </c>
      <c r="C1151" t="s">
        <v>2380</v>
      </c>
      <c r="D1151" t="s">
        <v>67</v>
      </c>
      <c r="E1151" t="s">
        <v>40</v>
      </c>
      <c r="F1151" t="s">
        <v>68</v>
      </c>
      <c r="G1151" t="s">
        <v>1503</v>
      </c>
      <c r="H1151" t="s">
        <v>112</v>
      </c>
      <c r="I1151" s="6">
        <v>8</v>
      </c>
      <c r="J1151" t="s">
        <v>71</v>
      </c>
      <c r="K1151" t="s">
        <v>1504</v>
      </c>
    </row>
    <row r="1152" spans="1:11">
      <c r="A1152" t="s">
        <v>2386</v>
      </c>
      <c r="B1152" s="5">
        <v>46211</v>
      </c>
      <c r="C1152" t="s">
        <v>2380</v>
      </c>
      <c r="D1152" t="s">
        <v>67</v>
      </c>
      <c r="E1152" t="s">
        <v>40</v>
      </c>
      <c r="F1152" t="s">
        <v>179</v>
      </c>
      <c r="G1152" t="s">
        <v>162</v>
      </c>
      <c r="H1152" t="s">
        <v>163</v>
      </c>
      <c r="I1152" s="6">
        <v>7.5</v>
      </c>
      <c r="J1152" t="s">
        <v>71</v>
      </c>
      <c r="K1152" t="s">
        <v>2387</v>
      </c>
    </row>
    <row r="1153" spans="1:11">
      <c r="A1153" t="s">
        <v>2388</v>
      </c>
      <c r="B1153" s="5">
        <v>46212</v>
      </c>
      <c r="C1153" t="s">
        <v>2380</v>
      </c>
      <c r="D1153" t="s">
        <v>67</v>
      </c>
      <c r="E1153" t="s">
        <v>40</v>
      </c>
      <c r="F1153" t="s">
        <v>179</v>
      </c>
      <c r="G1153" t="s">
        <v>162</v>
      </c>
      <c r="H1153" t="s">
        <v>163</v>
      </c>
      <c r="I1153" s="6">
        <v>7.5</v>
      </c>
      <c r="J1153" t="s">
        <v>71</v>
      </c>
      <c r="K1153" t="s">
        <v>2387</v>
      </c>
    </row>
    <row r="1154" spans="1:11">
      <c r="A1154" t="s">
        <v>2389</v>
      </c>
      <c r="B1154" s="5">
        <v>46213</v>
      </c>
      <c r="C1154" t="s">
        <v>2380</v>
      </c>
      <c r="D1154" t="s">
        <v>67</v>
      </c>
      <c r="E1154" t="s">
        <v>40</v>
      </c>
      <c r="F1154" t="s">
        <v>179</v>
      </c>
      <c r="G1154" t="s">
        <v>292</v>
      </c>
      <c r="H1154" t="s">
        <v>293</v>
      </c>
      <c r="I1154" s="6">
        <v>10</v>
      </c>
      <c r="J1154" t="s">
        <v>71</v>
      </c>
      <c r="K1154" t="s">
        <v>2390</v>
      </c>
    </row>
    <row r="1155" spans="1:11">
      <c r="A1155" t="s">
        <v>2391</v>
      </c>
      <c r="B1155" s="5">
        <v>46216</v>
      </c>
      <c r="C1155" t="s">
        <v>2380</v>
      </c>
      <c r="D1155" t="s">
        <v>67</v>
      </c>
      <c r="E1155" t="s">
        <v>40</v>
      </c>
      <c r="F1155" t="s">
        <v>179</v>
      </c>
      <c r="G1155" t="s">
        <v>2392</v>
      </c>
      <c r="H1155" t="s">
        <v>2393</v>
      </c>
      <c r="I1155" s="6">
        <v>12.5</v>
      </c>
      <c r="J1155" t="s">
        <v>71</v>
      </c>
      <c r="K1155" t="s">
        <v>2394</v>
      </c>
    </row>
    <row r="1156" spans="1:11">
      <c r="A1156" t="s">
        <v>2395</v>
      </c>
      <c r="B1156" s="5">
        <v>46217</v>
      </c>
      <c r="C1156" t="s">
        <v>2380</v>
      </c>
      <c r="D1156" t="s">
        <v>67</v>
      </c>
      <c r="E1156" t="s">
        <v>40</v>
      </c>
      <c r="F1156" t="s">
        <v>179</v>
      </c>
      <c r="G1156" t="s">
        <v>2392</v>
      </c>
      <c r="H1156" t="s">
        <v>2393</v>
      </c>
      <c r="I1156" s="6">
        <v>11.5</v>
      </c>
      <c r="J1156" t="s">
        <v>71</v>
      </c>
      <c r="K1156" t="s">
        <v>2396</v>
      </c>
    </row>
    <row r="1157" spans="1:11">
      <c r="A1157" t="s">
        <v>2397</v>
      </c>
      <c r="B1157" s="5">
        <v>46218</v>
      </c>
      <c r="C1157" t="s">
        <v>2380</v>
      </c>
      <c r="D1157" t="s">
        <v>67</v>
      </c>
      <c r="E1157" t="s">
        <v>40</v>
      </c>
      <c r="F1157" t="s">
        <v>179</v>
      </c>
      <c r="G1157" t="s">
        <v>2392</v>
      </c>
      <c r="H1157" t="s">
        <v>2393</v>
      </c>
      <c r="I1157" s="6">
        <v>8.5</v>
      </c>
      <c r="J1157" t="s">
        <v>71</v>
      </c>
      <c r="K1157" t="s">
        <v>2398</v>
      </c>
    </row>
    <row r="1158" spans="1:11">
      <c r="A1158" t="s">
        <v>2399</v>
      </c>
      <c r="B1158" s="5">
        <v>46204</v>
      </c>
      <c r="C1158" t="s">
        <v>2400</v>
      </c>
      <c r="D1158" t="s">
        <v>67</v>
      </c>
      <c r="E1158" t="s">
        <v>40</v>
      </c>
      <c r="F1158" t="s">
        <v>82</v>
      </c>
      <c r="G1158" t="s">
        <v>413</v>
      </c>
      <c r="H1158" t="s">
        <v>414</v>
      </c>
      <c r="I1158" s="6">
        <v>8.5</v>
      </c>
      <c r="J1158" t="s">
        <v>71</v>
      </c>
      <c r="K1158" t="s">
        <v>2401</v>
      </c>
    </row>
    <row r="1159" spans="1:11">
      <c r="A1159" t="s">
        <v>2402</v>
      </c>
      <c r="B1159" s="5">
        <v>46210</v>
      </c>
      <c r="C1159" t="s">
        <v>2400</v>
      </c>
      <c r="D1159" t="s">
        <v>67</v>
      </c>
      <c r="E1159" t="s">
        <v>40</v>
      </c>
      <c r="F1159" t="s">
        <v>82</v>
      </c>
      <c r="G1159" t="s">
        <v>1125</v>
      </c>
      <c r="H1159" t="s">
        <v>1126</v>
      </c>
      <c r="I1159" s="6">
        <v>8</v>
      </c>
      <c r="J1159" t="s">
        <v>71</v>
      </c>
      <c r="K1159" t="s">
        <v>2403</v>
      </c>
    </row>
    <row r="1160" spans="1:11">
      <c r="A1160" t="s">
        <v>2404</v>
      </c>
      <c r="B1160" s="5">
        <v>46211</v>
      </c>
      <c r="C1160" t="s">
        <v>2400</v>
      </c>
      <c r="D1160" t="s">
        <v>67</v>
      </c>
      <c r="E1160" t="s">
        <v>40</v>
      </c>
      <c r="F1160" t="s">
        <v>82</v>
      </c>
      <c r="G1160" t="s">
        <v>158</v>
      </c>
      <c r="H1160" t="s">
        <v>159</v>
      </c>
      <c r="I1160" s="6">
        <v>8</v>
      </c>
      <c r="J1160" t="s">
        <v>71</v>
      </c>
      <c r="K1160" t="s">
        <v>2131</v>
      </c>
    </row>
    <row r="1161" spans="1:11">
      <c r="A1161" t="s">
        <v>2405</v>
      </c>
      <c r="B1161" s="5">
        <v>46217</v>
      </c>
      <c r="C1161" t="s">
        <v>2400</v>
      </c>
      <c r="D1161" t="s">
        <v>67</v>
      </c>
      <c r="E1161" t="s">
        <v>40</v>
      </c>
      <c r="F1161" t="s">
        <v>82</v>
      </c>
      <c r="G1161" t="s">
        <v>102</v>
      </c>
      <c r="H1161" t="s">
        <v>103</v>
      </c>
      <c r="I1161" s="6">
        <v>8</v>
      </c>
      <c r="J1161" t="s">
        <v>71</v>
      </c>
      <c r="K1161" t="s">
        <v>343</v>
      </c>
    </row>
    <row r="1162" spans="1:11">
      <c r="A1162" t="s">
        <v>2406</v>
      </c>
      <c r="B1162" s="5">
        <v>46218</v>
      </c>
      <c r="C1162" t="s">
        <v>2400</v>
      </c>
      <c r="D1162" t="s">
        <v>67</v>
      </c>
      <c r="E1162" t="s">
        <v>40</v>
      </c>
      <c r="F1162" t="s">
        <v>82</v>
      </c>
      <c r="G1162" t="s">
        <v>102</v>
      </c>
      <c r="H1162" t="s">
        <v>103</v>
      </c>
      <c r="I1162" s="6">
        <v>9.5</v>
      </c>
      <c r="J1162" t="s">
        <v>71</v>
      </c>
      <c r="K1162" t="s">
        <v>2407</v>
      </c>
    </row>
    <row r="1163" spans="1:11">
      <c r="A1163" t="s">
        <v>2408</v>
      </c>
      <c r="B1163" s="5">
        <v>46205</v>
      </c>
      <c r="C1163" t="s">
        <v>2409</v>
      </c>
      <c r="D1163" t="s">
        <v>67</v>
      </c>
      <c r="E1163" t="s">
        <v>40</v>
      </c>
      <c r="F1163" t="s">
        <v>68</v>
      </c>
      <c r="G1163" t="s">
        <v>320</v>
      </c>
      <c r="H1163" t="s">
        <v>321</v>
      </c>
      <c r="I1163" s="6">
        <v>7</v>
      </c>
      <c r="J1163" t="s">
        <v>71</v>
      </c>
      <c r="K1163" t="s">
        <v>2410</v>
      </c>
    </row>
    <row r="1164" spans="1:11">
      <c r="A1164" t="s">
        <v>2411</v>
      </c>
      <c r="B1164" s="5">
        <v>46206</v>
      </c>
      <c r="C1164" t="s">
        <v>2409</v>
      </c>
      <c r="D1164" t="s">
        <v>67</v>
      </c>
      <c r="E1164" t="s">
        <v>40</v>
      </c>
      <c r="F1164" t="s">
        <v>68</v>
      </c>
      <c r="G1164" t="s">
        <v>324</v>
      </c>
      <c r="H1164" t="s">
        <v>325</v>
      </c>
      <c r="I1164" s="6">
        <v>7</v>
      </c>
      <c r="J1164" t="s">
        <v>71</v>
      </c>
      <c r="K1164" t="s">
        <v>2412</v>
      </c>
    </row>
    <row r="1165" spans="1:11">
      <c r="A1165" t="s">
        <v>2413</v>
      </c>
      <c r="B1165" s="5">
        <v>46209</v>
      </c>
      <c r="C1165" t="s">
        <v>2409</v>
      </c>
      <c r="D1165" t="s">
        <v>67</v>
      </c>
      <c r="E1165" t="s">
        <v>40</v>
      </c>
      <c r="F1165" t="s">
        <v>68</v>
      </c>
      <c r="G1165" t="s">
        <v>606</v>
      </c>
      <c r="H1165" t="s">
        <v>607</v>
      </c>
      <c r="I1165" s="6">
        <v>9</v>
      </c>
      <c r="J1165" t="s">
        <v>71</v>
      </c>
      <c r="K1165" t="s">
        <v>2414</v>
      </c>
    </row>
    <row r="1166" spans="1:11">
      <c r="A1166" t="s">
        <v>2415</v>
      </c>
      <c r="B1166" s="5">
        <v>46204</v>
      </c>
      <c r="C1166" t="s">
        <v>2416</v>
      </c>
      <c r="D1166" t="s">
        <v>67</v>
      </c>
      <c r="E1166" t="s">
        <v>24</v>
      </c>
      <c r="F1166" t="s">
        <v>68</v>
      </c>
      <c r="G1166" t="s">
        <v>890</v>
      </c>
      <c r="H1166" t="s">
        <v>891</v>
      </c>
      <c r="I1166" s="6">
        <v>8</v>
      </c>
      <c r="J1166" t="s">
        <v>71</v>
      </c>
      <c r="K1166" t="s">
        <v>1098</v>
      </c>
    </row>
    <row r="1167" spans="1:11">
      <c r="A1167" t="s">
        <v>2417</v>
      </c>
      <c r="B1167" s="5">
        <v>46205</v>
      </c>
      <c r="C1167" t="s">
        <v>2416</v>
      </c>
      <c r="D1167" t="s">
        <v>67</v>
      </c>
      <c r="E1167" t="s">
        <v>24</v>
      </c>
      <c r="F1167" t="s">
        <v>68</v>
      </c>
      <c r="G1167" t="s">
        <v>378</v>
      </c>
      <c r="H1167" t="s">
        <v>379</v>
      </c>
      <c r="I1167" s="6">
        <v>10.5</v>
      </c>
      <c r="J1167" t="s">
        <v>2418</v>
      </c>
      <c r="K1167" t="s">
        <v>2419</v>
      </c>
    </row>
    <row r="1168" spans="1:11">
      <c r="A1168" t="s">
        <v>2420</v>
      </c>
      <c r="B1168" s="5">
        <v>46206</v>
      </c>
      <c r="C1168" t="s">
        <v>2416</v>
      </c>
      <c r="D1168" t="s">
        <v>67</v>
      </c>
      <c r="E1168" t="s">
        <v>24</v>
      </c>
      <c r="F1168" t="s">
        <v>68</v>
      </c>
      <c r="G1168" t="s">
        <v>633</v>
      </c>
      <c r="H1168" t="s">
        <v>407</v>
      </c>
      <c r="I1168" s="6">
        <v>6.5</v>
      </c>
      <c r="J1168" t="s">
        <v>2418</v>
      </c>
      <c r="K1168" t="s">
        <v>2421</v>
      </c>
    </row>
    <row r="1169" spans="1:11">
      <c r="A1169" t="s">
        <v>2422</v>
      </c>
      <c r="B1169" s="5">
        <v>46213</v>
      </c>
      <c r="C1169" t="s">
        <v>2416</v>
      </c>
      <c r="I1169" s="6">
        <v>0</v>
      </c>
      <c r="J1169" t="s">
        <v>680</v>
      </c>
      <c r="K1169" t="s">
        <v>992</v>
      </c>
    </row>
    <row r="1170" spans="1:11">
      <c r="A1170" t="s">
        <v>2423</v>
      </c>
      <c r="B1170" s="5">
        <v>46216</v>
      </c>
      <c r="C1170" t="s">
        <v>2416</v>
      </c>
      <c r="D1170" t="s">
        <v>67</v>
      </c>
      <c r="E1170" t="s">
        <v>24</v>
      </c>
      <c r="F1170" t="s">
        <v>68</v>
      </c>
      <c r="G1170" t="s">
        <v>633</v>
      </c>
      <c r="H1170" t="s">
        <v>407</v>
      </c>
      <c r="I1170" s="6">
        <v>6</v>
      </c>
      <c r="J1170" t="s">
        <v>2418</v>
      </c>
      <c r="K1170" t="s">
        <v>2424</v>
      </c>
    </row>
    <row r="1171" spans="1:11">
      <c r="A1171" t="s">
        <v>2425</v>
      </c>
      <c r="B1171" s="5">
        <v>46217</v>
      </c>
      <c r="C1171" t="s">
        <v>2416</v>
      </c>
      <c r="D1171" t="s">
        <v>67</v>
      </c>
      <c r="E1171" t="s">
        <v>24</v>
      </c>
      <c r="F1171" t="s">
        <v>68</v>
      </c>
      <c r="G1171" t="s">
        <v>406</v>
      </c>
      <c r="H1171" t="s">
        <v>407</v>
      </c>
      <c r="I1171" s="6">
        <v>6.5</v>
      </c>
      <c r="J1171" t="s">
        <v>71</v>
      </c>
      <c r="K1171" t="s">
        <v>2426</v>
      </c>
    </row>
    <row r="1172" spans="1:11">
      <c r="A1172" t="s">
        <v>2427</v>
      </c>
      <c r="B1172" s="5">
        <v>46218</v>
      </c>
      <c r="C1172" t="s">
        <v>2416</v>
      </c>
      <c r="D1172" t="s">
        <v>67</v>
      </c>
      <c r="E1172" t="s">
        <v>17</v>
      </c>
      <c r="F1172" t="s">
        <v>68</v>
      </c>
      <c r="G1172" t="s">
        <v>402</v>
      </c>
      <c r="H1172" t="s">
        <v>403</v>
      </c>
      <c r="I1172" s="6">
        <v>4</v>
      </c>
      <c r="J1172" t="s">
        <v>71</v>
      </c>
      <c r="K1172" t="s">
        <v>2428</v>
      </c>
    </row>
    <row r="1173" spans="1:11">
      <c r="A1173" t="s">
        <v>2429</v>
      </c>
      <c r="B1173" s="5">
        <v>46204</v>
      </c>
      <c r="C1173" t="s">
        <v>2430</v>
      </c>
      <c r="D1173" t="s">
        <v>67</v>
      </c>
      <c r="E1173" t="s">
        <v>9</v>
      </c>
      <c r="F1173" t="s">
        <v>82</v>
      </c>
      <c r="G1173" t="s">
        <v>2181</v>
      </c>
      <c r="H1173" t="s">
        <v>2182</v>
      </c>
      <c r="I1173" s="6">
        <v>7</v>
      </c>
      <c r="J1173" t="s">
        <v>95</v>
      </c>
      <c r="K1173" t="s">
        <v>2431</v>
      </c>
    </row>
    <row r="1174" spans="1:11">
      <c r="A1174" t="s">
        <v>2432</v>
      </c>
      <c r="B1174" s="5">
        <v>46205</v>
      </c>
      <c r="C1174" t="s">
        <v>2430</v>
      </c>
      <c r="D1174" t="s">
        <v>67</v>
      </c>
      <c r="E1174" t="s">
        <v>9</v>
      </c>
      <c r="F1174" t="s">
        <v>82</v>
      </c>
      <c r="G1174" t="s">
        <v>944</v>
      </c>
      <c r="H1174" t="s">
        <v>945</v>
      </c>
      <c r="I1174" s="6">
        <v>8</v>
      </c>
      <c r="J1174" t="s">
        <v>71</v>
      </c>
      <c r="K1174" t="s">
        <v>2433</v>
      </c>
    </row>
    <row r="1175" spans="1:11">
      <c r="A1175" t="s">
        <v>2434</v>
      </c>
      <c r="B1175" s="5">
        <v>46206</v>
      </c>
      <c r="C1175" t="s">
        <v>2430</v>
      </c>
      <c r="D1175" t="s">
        <v>67</v>
      </c>
      <c r="E1175" t="s">
        <v>9</v>
      </c>
      <c r="F1175" t="s">
        <v>82</v>
      </c>
      <c r="G1175" t="s">
        <v>275</v>
      </c>
      <c r="H1175" t="s">
        <v>276</v>
      </c>
      <c r="I1175" s="6">
        <v>8.5</v>
      </c>
      <c r="J1175" t="s">
        <v>71</v>
      </c>
      <c r="K1175" t="s">
        <v>2435</v>
      </c>
    </row>
    <row r="1176" spans="1:11">
      <c r="A1176" t="s">
        <v>2436</v>
      </c>
      <c r="B1176" s="5">
        <v>46210</v>
      </c>
      <c r="C1176" t="s">
        <v>2430</v>
      </c>
      <c r="D1176" t="s">
        <v>67</v>
      </c>
      <c r="E1176" t="s">
        <v>9</v>
      </c>
      <c r="F1176" t="s">
        <v>82</v>
      </c>
      <c r="G1176" t="s">
        <v>944</v>
      </c>
      <c r="H1176" t="s">
        <v>945</v>
      </c>
      <c r="I1176" s="6">
        <v>8.25</v>
      </c>
      <c r="J1176" t="s">
        <v>71</v>
      </c>
      <c r="K1176" t="s">
        <v>2437</v>
      </c>
    </row>
    <row r="1177" spans="1:11">
      <c r="A1177" t="s">
        <v>2438</v>
      </c>
      <c r="B1177" s="5">
        <v>46211</v>
      </c>
      <c r="C1177" t="s">
        <v>2430</v>
      </c>
      <c r="D1177" t="s">
        <v>67</v>
      </c>
      <c r="E1177" t="s">
        <v>9</v>
      </c>
      <c r="F1177" t="s">
        <v>82</v>
      </c>
      <c r="G1177" t="s">
        <v>2276</v>
      </c>
      <c r="H1177" t="s">
        <v>2277</v>
      </c>
      <c r="I1177" s="6">
        <v>2.5</v>
      </c>
      <c r="J1177" t="s">
        <v>71</v>
      </c>
      <c r="K1177" t="s">
        <v>2439</v>
      </c>
    </row>
    <row r="1178" spans="1:11">
      <c r="A1178" t="s">
        <v>2440</v>
      </c>
      <c r="B1178" s="5">
        <v>46212</v>
      </c>
      <c r="C1178" t="s">
        <v>2430</v>
      </c>
      <c r="D1178" t="s">
        <v>67</v>
      </c>
      <c r="E1178" t="s">
        <v>9</v>
      </c>
      <c r="F1178" t="s">
        <v>82</v>
      </c>
      <c r="G1178" t="s">
        <v>944</v>
      </c>
      <c r="H1178" t="s">
        <v>945</v>
      </c>
      <c r="I1178" s="6">
        <v>7.5</v>
      </c>
      <c r="J1178" t="s">
        <v>71</v>
      </c>
      <c r="K1178" t="s">
        <v>2441</v>
      </c>
    </row>
    <row r="1179" spans="1:11">
      <c r="A1179" t="s">
        <v>2442</v>
      </c>
      <c r="B1179" s="5">
        <v>46213</v>
      </c>
      <c r="C1179" t="s">
        <v>2430</v>
      </c>
      <c r="D1179" t="s">
        <v>67</v>
      </c>
      <c r="E1179" t="s">
        <v>9</v>
      </c>
      <c r="F1179" t="s">
        <v>504</v>
      </c>
      <c r="G1179" t="s">
        <v>2443</v>
      </c>
      <c r="H1179" t="s">
        <v>2444</v>
      </c>
      <c r="I1179" s="6">
        <v>7.25</v>
      </c>
      <c r="J1179" t="s">
        <v>194</v>
      </c>
      <c r="K1179" t="s">
        <v>2445</v>
      </c>
    </row>
    <row r="1180" spans="1:11">
      <c r="A1180" t="s">
        <v>2446</v>
      </c>
      <c r="B1180" s="5">
        <v>46216</v>
      </c>
      <c r="C1180" t="s">
        <v>2430</v>
      </c>
      <c r="D1180" t="s">
        <v>67</v>
      </c>
      <c r="E1180" t="s">
        <v>9</v>
      </c>
      <c r="F1180" t="s">
        <v>68</v>
      </c>
      <c r="G1180" t="s">
        <v>509</v>
      </c>
      <c r="H1180" t="s">
        <v>510</v>
      </c>
      <c r="I1180" s="6">
        <v>4.5</v>
      </c>
      <c r="J1180" t="s">
        <v>71</v>
      </c>
      <c r="K1180" t="s">
        <v>2284</v>
      </c>
    </row>
    <row r="1181" spans="1:11">
      <c r="A1181" t="s">
        <v>2447</v>
      </c>
      <c r="B1181" s="5">
        <v>46217</v>
      </c>
      <c r="C1181" t="s">
        <v>2430</v>
      </c>
      <c r="D1181" t="s">
        <v>67</v>
      </c>
      <c r="E1181" t="s">
        <v>9</v>
      </c>
      <c r="F1181" t="s">
        <v>82</v>
      </c>
      <c r="G1181" t="s">
        <v>944</v>
      </c>
      <c r="H1181" t="s">
        <v>945</v>
      </c>
      <c r="I1181" s="6">
        <v>8</v>
      </c>
      <c r="J1181" t="s">
        <v>71</v>
      </c>
      <c r="K1181" t="s">
        <v>2433</v>
      </c>
    </row>
    <row r="1182" spans="1:11">
      <c r="A1182" t="s">
        <v>2448</v>
      </c>
      <c r="B1182" s="5">
        <v>46218</v>
      </c>
      <c r="C1182" t="s">
        <v>2430</v>
      </c>
      <c r="D1182" t="s">
        <v>67</v>
      </c>
      <c r="E1182" t="s">
        <v>9</v>
      </c>
      <c r="F1182" t="s">
        <v>504</v>
      </c>
      <c r="G1182" t="s">
        <v>971</v>
      </c>
      <c r="H1182" t="s">
        <v>972</v>
      </c>
      <c r="I1182" s="6">
        <v>5.75</v>
      </c>
      <c r="J1182" t="s">
        <v>95</v>
      </c>
      <c r="K1182" t="s">
        <v>2449</v>
      </c>
    </row>
    <row r="1183" spans="1:11">
      <c r="A1183" t="s">
        <v>2450</v>
      </c>
      <c r="B1183" s="5">
        <v>46204</v>
      </c>
      <c r="C1183" t="s">
        <v>2451</v>
      </c>
      <c r="D1183" t="s">
        <v>67</v>
      </c>
      <c r="E1183" t="s">
        <v>17</v>
      </c>
      <c r="F1183" t="s">
        <v>179</v>
      </c>
      <c r="G1183" t="s">
        <v>1302</v>
      </c>
      <c r="H1183" t="s">
        <v>1303</v>
      </c>
      <c r="I1183" s="6">
        <v>8.5</v>
      </c>
      <c r="J1183" t="s">
        <v>71</v>
      </c>
      <c r="K1183" t="s">
        <v>1304</v>
      </c>
    </row>
    <row r="1184" spans="1:11">
      <c r="A1184" t="s">
        <v>2452</v>
      </c>
      <c r="B1184" s="5">
        <v>46205</v>
      </c>
      <c r="C1184" t="s">
        <v>2451</v>
      </c>
      <c r="D1184" t="s">
        <v>67</v>
      </c>
      <c r="E1184" t="s">
        <v>17</v>
      </c>
      <c r="F1184" t="s">
        <v>179</v>
      </c>
      <c r="G1184" t="s">
        <v>252</v>
      </c>
      <c r="H1184" t="s">
        <v>249</v>
      </c>
      <c r="I1184" s="6">
        <v>8.5</v>
      </c>
      <c r="J1184" t="s">
        <v>71</v>
      </c>
      <c r="K1184" t="s">
        <v>439</v>
      </c>
    </row>
    <row r="1185" spans="1:11">
      <c r="A1185" t="s">
        <v>2453</v>
      </c>
      <c r="B1185" s="5">
        <v>46206</v>
      </c>
      <c r="C1185" t="s">
        <v>2451</v>
      </c>
      <c r="D1185" t="s">
        <v>67</v>
      </c>
      <c r="E1185" t="s">
        <v>17</v>
      </c>
      <c r="F1185" t="s">
        <v>82</v>
      </c>
      <c r="G1185" t="s">
        <v>252</v>
      </c>
      <c r="H1185" t="s">
        <v>249</v>
      </c>
      <c r="I1185" s="6">
        <v>8.5</v>
      </c>
      <c r="J1185" t="s">
        <v>71</v>
      </c>
      <c r="K1185" t="s">
        <v>2454</v>
      </c>
    </row>
    <row r="1186" spans="1:11">
      <c r="A1186" t="s">
        <v>2455</v>
      </c>
      <c r="B1186" s="5">
        <v>46209</v>
      </c>
      <c r="C1186" t="s">
        <v>2451</v>
      </c>
      <c r="D1186" t="s">
        <v>67</v>
      </c>
      <c r="E1186" t="s">
        <v>24</v>
      </c>
      <c r="F1186" t="s">
        <v>82</v>
      </c>
      <c r="G1186" t="s">
        <v>442</v>
      </c>
      <c r="H1186" t="s">
        <v>443</v>
      </c>
      <c r="I1186" s="6">
        <v>12</v>
      </c>
      <c r="J1186" t="s">
        <v>71</v>
      </c>
      <c r="K1186" t="s">
        <v>2456</v>
      </c>
    </row>
    <row r="1187" spans="1:11">
      <c r="A1187" t="s">
        <v>2457</v>
      </c>
      <c r="B1187" s="5">
        <v>46210</v>
      </c>
      <c r="C1187" t="s">
        <v>2451</v>
      </c>
      <c r="D1187" t="s">
        <v>67</v>
      </c>
      <c r="E1187" t="s">
        <v>17</v>
      </c>
      <c r="F1187" t="s">
        <v>68</v>
      </c>
      <c r="G1187" t="s">
        <v>244</v>
      </c>
      <c r="H1187" t="s">
        <v>245</v>
      </c>
      <c r="I1187" s="6">
        <v>6</v>
      </c>
      <c r="J1187" t="s">
        <v>71</v>
      </c>
      <c r="K1187" t="s">
        <v>2458</v>
      </c>
    </row>
    <row r="1188" spans="1:11">
      <c r="A1188" t="s">
        <v>2459</v>
      </c>
      <c r="B1188" s="5">
        <v>46213</v>
      </c>
      <c r="C1188" t="s">
        <v>2451</v>
      </c>
      <c r="D1188" t="s">
        <v>67</v>
      </c>
      <c r="E1188" t="s">
        <v>17</v>
      </c>
      <c r="F1188" t="s">
        <v>82</v>
      </c>
      <c r="G1188" t="s">
        <v>244</v>
      </c>
      <c r="H1188" t="s">
        <v>245</v>
      </c>
      <c r="I1188" s="6">
        <v>7.5</v>
      </c>
      <c r="J1188" t="s">
        <v>71</v>
      </c>
      <c r="K1188" t="s">
        <v>2460</v>
      </c>
    </row>
    <row r="1189" spans="1:11">
      <c r="A1189" t="s">
        <v>2461</v>
      </c>
      <c r="B1189" s="5">
        <v>46216</v>
      </c>
      <c r="C1189" t="s">
        <v>2451</v>
      </c>
      <c r="I1189" s="6">
        <v>0</v>
      </c>
      <c r="J1189" t="s">
        <v>680</v>
      </c>
      <c r="K1189" t="s">
        <v>992</v>
      </c>
    </row>
    <row r="1190" spans="1:11">
      <c r="A1190" t="s">
        <v>2462</v>
      </c>
      <c r="B1190" s="5">
        <v>46217</v>
      </c>
      <c r="C1190" t="s">
        <v>2451</v>
      </c>
      <c r="I1190" s="6">
        <v>0</v>
      </c>
      <c r="J1190" t="s">
        <v>680</v>
      </c>
      <c r="K1190" t="s">
        <v>992</v>
      </c>
    </row>
    <row r="1191" spans="1:11">
      <c r="A1191" t="s">
        <v>2463</v>
      </c>
      <c r="B1191" s="5">
        <v>46218</v>
      </c>
      <c r="C1191" t="s">
        <v>2451</v>
      </c>
      <c r="I1191" s="6">
        <v>0</v>
      </c>
      <c r="J1191" t="s">
        <v>680</v>
      </c>
      <c r="K1191" t="s">
        <v>992</v>
      </c>
    </row>
    <row r="1192" spans="1:11">
      <c r="A1192" t="s">
        <v>2464</v>
      </c>
      <c r="B1192" s="5">
        <v>46219</v>
      </c>
      <c r="C1192" t="s">
        <v>2451</v>
      </c>
      <c r="I1192" s="6">
        <v>0</v>
      </c>
      <c r="J1192" t="s">
        <v>680</v>
      </c>
      <c r="K1192" t="s">
        <v>992</v>
      </c>
    </row>
    <row r="1193" spans="1:11">
      <c r="A1193" t="s">
        <v>2465</v>
      </c>
      <c r="B1193" s="5">
        <v>46204</v>
      </c>
      <c r="C1193" t="s">
        <v>2466</v>
      </c>
      <c r="D1193" t="s">
        <v>67</v>
      </c>
      <c r="E1193" t="s">
        <v>24</v>
      </c>
      <c r="F1193" t="s">
        <v>82</v>
      </c>
      <c r="G1193" t="s">
        <v>378</v>
      </c>
      <c r="H1193" t="s">
        <v>379</v>
      </c>
      <c r="I1193" s="6">
        <v>7.5</v>
      </c>
      <c r="J1193" t="s">
        <v>71</v>
      </c>
      <c r="K1193" t="s">
        <v>2467</v>
      </c>
    </row>
    <row r="1194" spans="1:11">
      <c r="A1194" t="s">
        <v>2468</v>
      </c>
      <c r="B1194" s="5">
        <v>46205</v>
      </c>
      <c r="C1194" t="s">
        <v>2466</v>
      </c>
      <c r="D1194" t="s">
        <v>67</v>
      </c>
      <c r="E1194" t="s">
        <v>24</v>
      </c>
      <c r="F1194" t="s">
        <v>82</v>
      </c>
      <c r="G1194" t="s">
        <v>378</v>
      </c>
      <c r="H1194" t="s">
        <v>379</v>
      </c>
      <c r="I1194" s="6">
        <v>10.5</v>
      </c>
      <c r="J1194" t="s">
        <v>71</v>
      </c>
      <c r="K1194" t="s">
        <v>1458</v>
      </c>
    </row>
    <row r="1195" spans="1:11">
      <c r="A1195" t="s">
        <v>2469</v>
      </c>
      <c r="B1195" s="5">
        <v>46206</v>
      </c>
      <c r="C1195" t="s">
        <v>2466</v>
      </c>
      <c r="D1195" t="s">
        <v>67</v>
      </c>
      <c r="E1195" t="s">
        <v>24</v>
      </c>
      <c r="F1195" t="s">
        <v>82</v>
      </c>
      <c r="G1195" t="s">
        <v>378</v>
      </c>
      <c r="H1195" t="s">
        <v>379</v>
      </c>
      <c r="I1195" s="6">
        <v>9</v>
      </c>
      <c r="J1195" t="s">
        <v>71</v>
      </c>
      <c r="K1195" t="s">
        <v>2470</v>
      </c>
    </row>
    <row r="1196" spans="1:11">
      <c r="A1196" t="s">
        <v>2471</v>
      </c>
      <c r="B1196" s="5">
        <v>46207</v>
      </c>
      <c r="C1196" t="s">
        <v>2466</v>
      </c>
      <c r="D1196" t="s">
        <v>67</v>
      </c>
      <c r="E1196" t="s">
        <v>24</v>
      </c>
      <c r="F1196" t="s">
        <v>82</v>
      </c>
      <c r="G1196" t="s">
        <v>378</v>
      </c>
      <c r="H1196" t="s">
        <v>379</v>
      </c>
      <c r="I1196" s="6">
        <v>10</v>
      </c>
      <c r="J1196" t="s">
        <v>71</v>
      </c>
      <c r="K1196" t="s">
        <v>636</v>
      </c>
    </row>
    <row r="1197" spans="1:11">
      <c r="A1197" t="s">
        <v>2472</v>
      </c>
      <c r="B1197" s="5">
        <v>46208</v>
      </c>
      <c r="C1197" t="s">
        <v>2466</v>
      </c>
      <c r="D1197" t="s">
        <v>67</v>
      </c>
      <c r="E1197" t="s">
        <v>24</v>
      </c>
      <c r="F1197" t="s">
        <v>82</v>
      </c>
      <c r="G1197" t="s">
        <v>378</v>
      </c>
      <c r="H1197" t="s">
        <v>379</v>
      </c>
      <c r="I1197" s="6">
        <v>10</v>
      </c>
      <c r="J1197" t="s">
        <v>71</v>
      </c>
      <c r="K1197" t="s">
        <v>636</v>
      </c>
    </row>
    <row r="1198" spans="1:11">
      <c r="A1198" t="s">
        <v>2473</v>
      </c>
      <c r="B1198" s="5">
        <v>46209</v>
      </c>
      <c r="C1198" t="s">
        <v>2466</v>
      </c>
      <c r="D1198" t="s">
        <v>67</v>
      </c>
      <c r="E1198" t="s">
        <v>24</v>
      </c>
      <c r="F1198" t="s">
        <v>82</v>
      </c>
      <c r="G1198" t="s">
        <v>633</v>
      </c>
      <c r="H1198" t="s">
        <v>407</v>
      </c>
      <c r="I1198" s="6">
        <v>9</v>
      </c>
      <c r="J1198" t="s">
        <v>71</v>
      </c>
      <c r="K1198" t="s">
        <v>1101</v>
      </c>
    </row>
    <row r="1199" spans="1:11">
      <c r="A1199" t="s">
        <v>2474</v>
      </c>
      <c r="B1199" s="5">
        <v>46210</v>
      </c>
      <c r="C1199" t="s">
        <v>2466</v>
      </c>
      <c r="D1199" t="s">
        <v>67</v>
      </c>
      <c r="E1199" t="s">
        <v>24</v>
      </c>
      <c r="F1199" t="s">
        <v>82</v>
      </c>
      <c r="G1199" t="s">
        <v>2475</v>
      </c>
      <c r="H1199" t="s">
        <v>2476</v>
      </c>
      <c r="I1199" s="6">
        <v>11.5</v>
      </c>
      <c r="J1199" t="s">
        <v>95</v>
      </c>
      <c r="K1199" t="s">
        <v>2477</v>
      </c>
    </row>
    <row r="1200" spans="1:11">
      <c r="A1200" t="s">
        <v>2478</v>
      </c>
      <c r="B1200" s="5">
        <v>46211</v>
      </c>
      <c r="C1200" t="s">
        <v>2466</v>
      </c>
      <c r="D1200" t="s">
        <v>67</v>
      </c>
      <c r="E1200" t="s">
        <v>24</v>
      </c>
      <c r="F1200" t="s">
        <v>82</v>
      </c>
      <c r="G1200" t="s">
        <v>2475</v>
      </c>
      <c r="H1200" t="s">
        <v>2476</v>
      </c>
      <c r="I1200" s="6">
        <v>11</v>
      </c>
      <c r="J1200" t="s">
        <v>95</v>
      </c>
      <c r="K1200" t="s">
        <v>2479</v>
      </c>
    </row>
    <row r="1201" spans="1:11">
      <c r="A1201" t="s">
        <v>2480</v>
      </c>
      <c r="B1201" s="5">
        <v>46212</v>
      </c>
      <c r="C1201" t="s">
        <v>2466</v>
      </c>
      <c r="D1201" t="s">
        <v>67</v>
      </c>
      <c r="E1201" t="s">
        <v>24</v>
      </c>
      <c r="F1201" t="s">
        <v>82</v>
      </c>
      <c r="G1201" t="s">
        <v>633</v>
      </c>
      <c r="H1201" t="s">
        <v>407</v>
      </c>
      <c r="I1201" s="6">
        <v>8</v>
      </c>
      <c r="J1201" t="s">
        <v>71</v>
      </c>
      <c r="K1201" t="s">
        <v>1106</v>
      </c>
    </row>
    <row r="1202" spans="1:11">
      <c r="A1202" t="s">
        <v>2481</v>
      </c>
      <c r="B1202" s="5">
        <v>46213</v>
      </c>
      <c r="C1202" t="s">
        <v>2466</v>
      </c>
      <c r="D1202" t="s">
        <v>67</v>
      </c>
      <c r="E1202" t="s">
        <v>24</v>
      </c>
      <c r="F1202" t="s">
        <v>82</v>
      </c>
      <c r="G1202" t="s">
        <v>398</v>
      </c>
      <c r="H1202" t="s">
        <v>399</v>
      </c>
      <c r="I1202" s="6">
        <v>11</v>
      </c>
      <c r="J1202" t="s">
        <v>95</v>
      </c>
      <c r="K1202" t="s">
        <v>2482</v>
      </c>
    </row>
    <row r="1203" spans="1:11">
      <c r="A1203" t="s">
        <v>2483</v>
      </c>
      <c r="B1203" s="5">
        <v>46204</v>
      </c>
      <c r="C1203" t="s">
        <v>2484</v>
      </c>
      <c r="D1203" t="s">
        <v>67</v>
      </c>
      <c r="E1203" t="s">
        <v>9</v>
      </c>
      <c r="F1203" t="s">
        <v>179</v>
      </c>
      <c r="G1203" t="s">
        <v>275</v>
      </c>
      <c r="H1203" t="s">
        <v>276</v>
      </c>
      <c r="I1203" s="6">
        <v>9</v>
      </c>
      <c r="J1203" t="s">
        <v>71</v>
      </c>
      <c r="K1203" t="s">
        <v>2485</v>
      </c>
    </row>
    <row r="1204" spans="1:11">
      <c r="A1204" t="s">
        <v>2486</v>
      </c>
      <c r="B1204" s="5">
        <v>46205</v>
      </c>
      <c r="C1204" t="s">
        <v>2484</v>
      </c>
      <c r="D1204" t="s">
        <v>67</v>
      </c>
      <c r="E1204" t="s">
        <v>9</v>
      </c>
      <c r="F1204" t="s">
        <v>179</v>
      </c>
      <c r="G1204" t="s">
        <v>275</v>
      </c>
      <c r="H1204" t="s">
        <v>276</v>
      </c>
      <c r="I1204" s="6">
        <v>9</v>
      </c>
      <c r="J1204" t="s">
        <v>71</v>
      </c>
      <c r="K1204" t="s">
        <v>2485</v>
      </c>
    </row>
    <row r="1205" spans="1:11">
      <c r="A1205" t="s">
        <v>2487</v>
      </c>
      <c r="B1205" s="5">
        <v>46206</v>
      </c>
      <c r="C1205" t="s">
        <v>2484</v>
      </c>
      <c r="D1205" t="s">
        <v>67</v>
      </c>
      <c r="E1205" t="s">
        <v>503</v>
      </c>
      <c r="F1205" t="s">
        <v>179</v>
      </c>
      <c r="G1205" t="s">
        <v>505</v>
      </c>
      <c r="H1205" t="s">
        <v>506</v>
      </c>
      <c r="I1205" s="6">
        <v>9</v>
      </c>
      <c r="J1205" t="s">
        <v>194</v>
      </c>
      <c r="K1205" t="s">
        <v>2488</v>
      </c>
    </row>
    <row r="1206" spans="1:11">
      <c r="A1206" t="s">
        <v>2489</v>
      </c>
      <c r="B1206" s="5">
        <v>46209</v>
      </c>
      <c r="C1206" t="s">
        <v>2484</v>
      </c>
      <c r="D1206" t="s">
        <v>67</v>
      </c>
      <c r="E1206" t="s">
        <v>9</v>
      </c>
      <c r="F1206" t="s">
        <v>179</v>
      </c>
      <c r="G1206" t="s">
        <v>2490</v>
      </c>
      <c r="H1206" t="s">
        <v>2491</v>
      </c>
      <c r="I1206" s="6">
        <v>8</v>
      </c>
      <c r="J1206" t="s">
        <v>71</v>
      </c>
      <c r="K1206" t="s">
        <v>2492</v>
      </c>
    </row>
    <row r="1207" spans="1:11">
      <c r="A1207" t="s">
        <v>2493</v>
      </c>
      <c r="B1207" s="5">
        <v>46210</v>
      </c>
      <c r="C1207" t="s">
        <v>2484</v>
      </c>
      <c r="D1207" t="s">
        <v>67</v>
      </c>
      <c r="E1207" t="s">
        <v>9</v>
      </c>
      <c r="F1207" t="s">
        <v>82</v>
      </c>
      <c r="G1207" t="s">
        <v>2490</v>
      </c>
      <c r="H1207" t="s">
        <v>2491</v>
      </c>
      <c r="I1207" s="6">
        <v>6.5</v>
      </c>
      <c r="J1207" t="s">
        <v>71</v>
      </c>
      <c r="K1207" t="s">
        <v>2494</v>
      </c>
    </row>
    <row r="1208" spans="1:11">
      <c r="A1208" t="s">
        <v>2495</v>
      </c>
      <c r="B1208" s="5">
        <v>46211</v>
      </c>
      <c r="C1208" t="s">
        <v>2484</v>
      </c>
      <c r="D1208" t="s">
        <v>67</v>
      </c>
      <c r="E1208" t="s">
        <v>9</v>
      </c>
      <c r="F1208" t="s">
        <v>179</v>
      </c>
      <c r="G1208" t="s">
        <v>275</v>
      </c>
      <c r="H1208" t="s">
        <v>276</v>
      </c>
      <c r="I1208" s="6">
        <v>11.5</v>
      </c>
      <c r="J1208" t="s">
        <v>71</v>
      </c>
      <c r="K1208" t="s">
        <v>2496</v>
      </c>
    </row>
    <row r="1209" spans="1:11">
      <c r="A1209" t="s">
        <v>2497</v>
      </c>
      <c r="B1209" s="5">
        <v>46212</v>
      </c>
      <c r="C1209" t="s">
        <v>2484</v>
      </c>
      <c r="D1209" t="s">
        <v>67</v>
      </c>
      <c r="E1209" t="s">
        <v>9</v>
      </c>
      <c r="F1209" t="s">
        <v>179</v>
      </c>
      <c r="G1209" t="s">
        <v>275</v>
      </c>
      <c r="H1209" t="s">
        <v>276</v>
      </c>
      <c r="I1209" s="6">
        <v>6.5</v>
      </c>
      <c r="J1209" t="s">
        <v>71</v>
      </c>
      <c r="K1209" t="s">
        <v>2498</v>
      </c>
    </row>
    <row r="1210" spans="1:11">
      <c r="A1210" t="s">
        <v>2499</v>
      </c>
      <c r="B1210" s="5">
        <v>46213</v>
      </c>
      <c r="C1210" t="s">
        <v>2484</v>
      </c>
      <c r="D1210" t="s">
        <v>67</v>
      </c>
      <c r="E1210" t="s">
        <v>9</v>
      </c>
      <c r="F1210" t="s">
        <v>179</v>
      </c>
      <c r="G1210" t="s">
        <v>2313</v>
      </c>
      <c r="H1210" t="s">
        <v>2314</v>
      </c>
      <c r="I1210" s="6">
        <v>5.5</v>
      </c>
      <c r="J1210" t="s">
        <v>95</v>
      </c>
      <c r="K1210" t="s">
        <v>2500</v>
      </c>
    </row>
    <row r="1211" spans="1:11">
      <c r="A1211" t="s">
        <v>2501</v>
      </c>
      <c r="B1211" s="5">
        <v>46216</v>
      </c>
      <c r="C1211" t="s">
        <v>2484</v>
      </c>
      <c r="D1211" t="s">
        <v>67</v>
      </c>
      <c r="E1211" t="s">
        <v>9</v>
      </c>
      <c r="F1211" t="s">
        <v>179</v>
      </c>
      <c r="G1211" t="s">
        <v>2200</v>
      </c>
      <c r="H1211" t="s">
        <v>2201</v>
      </c>
      <c r="I1211" s="6">
        <v>3.75</v>
      </c>
      <c r="J1211" t="s">
        <v>194</v>
      </c>
      <c r="K1211" t="s">
        <v>2502</v>
      </c>
    </row>
    <row r="1212" spans="1:11">
      <c r="A1212" t="s">
        <v>2503</v>
      </c>
      <c r="B1212" s="5">
        <v>46217</v>
      </c>
      <c r="C1212" t="s">
        <v>2484</v>
      </c>
      <c r="D1212" t="s">
        <v>67</v>
      </c>
      <c r="E1212" t="s">
        <v>9</v>
      </c>
      <c r="F1212" t="s">
        <v>82</v>
      </c>
      <c r="G1212" t="s">
        <v>1876</v>
      </c>
      <c r="H1212" t="s">
        <v>1877</v>
      </c>
      <c r="I1212" s="6">
        <v>7</v>
      </c>
      <c r="J1212" t="s">
        <v>71</v>
      </c>
      <c r="K1212" t="s">
        <v>1878</v>
      </c>
    </row>
    <row r="1213" spans="1:11">
      <c r="A1213" t="s">
        <v>2504</v>
      </c>
      <c r="B1213" s="5">
        <v>46218</v>
      </c>
      <c r="C1213" t="s">
        <v>2484</v>
      </c>
      <c r="D1213" t="s">
        <v>67</v>
      </c>
      <c r="E1213" t="s">
        <v>9</v>
      </c>
      <c r="F1213" t="s">
        <v>82</v>
      </c>
      <c r="G1213" t="s">
        <v>1876</v>
      </c>
      <c r="H1213" t="s">
        <v>1877</v>
      </c>
      <c r="I1213" s="6">
        <v>8</v>
      </c>
      <c r="J1213" t="s">
        <v>71</v>
      </c>
      <c r="K1213" t="s">
        <v>1880</v>
      </c>
    </row>
    <row r="1214" spans="1:11">
      <c r="A1214" t="s">
        <v>2505</v>
      </c>
      <c r="B1214" s="5">
        <v>46204</v>
      </c>
      <c r="C1214" t="s">
        <v>2506</v>
      </c>
      <c r="D1214" t="s">
        <v>67</v>
      </c>
      <c r="E1214" t="s">
        <v>40</v>
      </c>
      <c r="F1214" t="s">
        <v>179</v>
      </c>
      <c r="G1214" t="s">
        <v>111</v>
      </c>
      <c r="H1214" t="s">
        <v>112</v>
      </c>
      <c r="I1214" s="6">
        <v>8</v>
      </c>
      <c r="J1214" t="s">
        <v>71</v>
      </c>
      <c r="K1214" t="s">
        <v>1587</v>
      </c>
    </row>
    <row r="1215" spans="1:11">
      <c r="A1215" t="s">
        <v>2507</v>
      </c>
      <c r="B1215" s="5">
        <v>46209</v>
      </c>
      <c r="C1215" t="s">
        <v>2506</v>
      </c>
      <c r="D1215" t="s">
        <v>67</v>
      </c>
      <c r="E1215" t="s">
        <v>40</v>
      </c>
      <c r="F1215" t="s">
        <v>179</v>
      </c>
      <c r="G1215" t="s">
        <v>124</v>
      </c>
      <c r="H1215" t="s">
        <v>125</v>
      </c>
      <c r="I1215" s="6">
        <v>9</v>
      </c>
      <c r="J1215" t="s">
        <v>71</v>
      </c>
      <c r="K1215" t="s">
        <v>2508</v>
      </c>
    </row>
    <row r="1216" spans="1:11">
      <c r="A1216" t="s">
        <v>2509</v>
      </c>
      <c r="B1216" s="5">
        <v>46210</v>
      </c>
      <c r="C1216" t="s">
        <v>2506</v>
      </c>
      <c r="D1216" t="s">
        <v>67</v>
      </c>
      <c r="E1216" t="s">
        <v>40</v>
      </c>
      <c r="F1216" t="s">
        <v>179</v>
      </c>
      <c r="G1216" t="s">
        <v>124</v>
      </c>
      <c r="H1216" t="s">
        <v>125</v>
      </c>
      <c r="I1216" s="6">
        <v>8</v>
      </c>
      <c r="J1216" t="s">
        <v>71</v>
      </c>
      <c r="K1216" t="s">
        <v>2510</v>
      </c>
    </row>
    <row r="1217" spans="1:11">
      <c r="A1217" t="s">
        <v>2511</v>
      </c>
      <c r="B1217" s="5">
        <v>46211</v>
      </c>
      <c r="C1217" t="s">
        <v>2506</v>
      </c>
      <c r="D1217" t="s">
        <v>67</v>
      </c>
      <c r="E1217" t="s">
        <v>40</v>
      </c>
      <c r="F1217" t="s">
        <v>179</v>
      </c>
      <c r="G1217" t="s">
        <v>158</v>
      </c>
      <c r="H1217" t="s">
        <v>159</v>
      </c>
      <c r="I1217" s="6">
        <v>8</v>
      </c>
      <c r="J1217" t="s">
        <v>71</v>
      </c>
      <c r="K1217" t="s">
        <v>2512</v>
      </c>
    </row>
    <row r="1218" spans="1:11">
      <c r="A1218" t="s">
        <v>2513</v>
      </c>
      <c r="B1218" s="5">
        <v>46212</v>
      </c>
      <c r="C1218" t="s">
        <v>2506</v>
      </c>
      <c r="D1218" t="s">
        <v>67</v>
      </c>
      <c r="E1218" t="s">
        <v>40</v>
      </c>
      <c r="F1218" t="s">
        <v>68</v>
      </c>
      <c r="G1218" t="s">
        <v>1366</v>
      </c>
      <c r="H1218" t="s">
        <v>1367</v>
      </c>
      <c r="I1218" s="6">
        <v>8.25</v>
      </c>
      <c r="J1218" t="s">
        <v>71</v>
      </c>
      <c r="K1218" t="s">
        <v>1581</v>
      </c>
    </row>
    <row r="1219" spans="1:11">
      <c r="A1219" t="s">
        <v>2514</v>
      </c>
      <c r="B1219" s="5">
        <v>46204</v>
      </c>
      <c r="C1219" t="s">
        <v>2515</v>
      </c>
      <c r="D1219" t="s">
        <v>67</v>
      </c>
      <c r="E1219" t="s">
        <v>40</v>
      </c>
      <c r="F1219" t="s">
        <v>68</v>
      </c>
      <c r="G1219" t="s">
        <v>69</v>
      </c>
      <c r="H1219" t="s">
        <v>70</v>
      </c>
      <c r="I1219" s="6">
        <v>7.5</v>
      </c>
      <c r="J1219" t="s">
        <v>71</v>
      </c>
      <c r="K1219" t="s">
        <v>72</v>
      </c>
    </row>
    <row r="1220" spans="1:11">
      <c r="A1220" t="s">
        <v>2516</v>
      </c>
      <c r="B1220" s="5">
        <v>46206</v>
      </c>
      <c r="C1220" t="s">
        <v>2515</v>
      </c>
      <c r="D1220" t="s">
        <v>67</v>
      </c>
      <c r="E1220" t="s">
        <v>40</v>
      </c>
      <c r="F1220" t="s">
        <v>68</v>
      </c>
      <c r="G1220" t="s">
        <v>648</v>
      </c>
      <c r="H1220" t="s">
        <v>649</v>
      </c>
      <c r="I1220" s="6">
        <v>11</v>
      </c>
      <c r="J1220" t="s">
        <v>71</v>
      </c>
      <c r="K1220" t="s">
        <v>2517</v>
      </c>
    </row>
    <row r="1221" spans="1:11">
      <c r="A1221" t="s">
        <v>2518</v>
      </c>
      <c r="B1221" s="5">
        <v>46209</v>
      </c>
      <c r="C1221" t="s">
        <v>2515</v>
      </c>
      <c r="D1221" t="s">
        <v>67</v>
      </c>
      <c r="E1221" t="s">
        <v>40</v>
      </c>
      <c r="F1221" t="s">
        <v>68</v>
      </c>
      <c r="G1221" t="s">
        <v>648</v>
      </c>
      <c r="H1221" t="s">
        <v>649</v>
      </c>
      <c r="I1221" s="6">
        <v>9</v>
      </c>
      <c r="J1221" t="s">
        <v>71</v>
      </c>
      <c r="K1221" t="s">
        <v>650</v>
      </c>
    </row>
    <row r="1222" spans="1:11">
      <c r="A1222" t="s">
        <v>2519</v>
      </c>
      <c r="B1222" s="5">
        <v>46210</v>
      </c>
      <c r="C1222" t="s">
        <v>2515</v>
      </c>
      <c r="D1222" t="s">
        <v>67</v>
      </c>
      <c r="E1222" t="s">
        <v>40</v>
      </c>
      <c r="F1222" t="s">
        <v>68</v>
      </c>
      <c r="G1222" t="s">
        <v>425</v>
      </c>
      <c r="H1222" t="s">
        <v>112</v>
      </c>
      <c r="I1222" s="6">
        <v>8</v>
      </c>
      <c r="J1222" t="s">
        <v>71</v>
      </c>
      <c r="K1222" t="s">
        <v>2520</v>
      </c>
    </row>
    <row r="1223" spans="1:11">
      <c r="A1223" t="s">
        <v>2521</v>
      </c>
      <c r="B1223" s="5">
        <v>46211</v>
      </c>
      <c r="C1223" t="s">
        <v>2515</v>
      </c>
      <c r="D1223" t="s">
        <v>67</v>
      </c>
      <c r="E1223" t="s">
        <v>40</v>
      </c>
      <c r="F1223" t="s">
        <v>68</v>
      </c>
      <c r="G1223" t="s">
        <v>648</v>
      </c>
      <c r="H1223" t="s">
        <v>649</v>
      </c>
      <c r="I1223" s="6">
        <v>8.5</v>
      </c>
      <c r="J1223" t="s">
        <v>71</v>
      </c>
      <c r="K1223" t="s">
        <v>2522</v>
      </c>
    </row>
    <row r="1224" spans="1:11">
      <c r="A1224" t="s">
        <v>2523</v>
      </c>
      <c r="B1224" s="5">
        <v>46212</v>
      </c>
      <c r="C1224" t="s">
        <v>2515</v>
      </c>
      <c r="D1224" t="s">
        <v>67</v>
      </c>
      <c r="E1224" t="s">
        <v>40</v>
      </c>
      <c r="F1224" t="s">
        <v>68</v>
      </c>
      <c r="G1224" t="s">
        <v>69</v>
      </c>
      <c r="H1224" t="s">
        <v>70</v>
      </c>
      <c r="I1224" s="6">
        <v>8</v>
      </c>
      <c r="J1224" t="s">
        <v>71</v>
      </c>
      <c r="K1224" t="s">
        <v>2524</v>
      </c>
    </row>
    <row r="1225" spans="1:11">
      <c r="A1225" t="s">
        <v>2525</v>
      </c>
      <c r="B1225" s="5">
        <v>46216</v>
      </c>
      <c r="C1225" t="s">
        <v>2515</v>
      </c>
      <c r="I1225" s="6">
        <v>0</v>
      </c>
      <c r="J1225" t="s">
        <v>680</v>
      </c>
      <c r="K1225" t="s">
        <v>681</v>
      </c>
    </row>
    <row r="1226" spans="1:11">
      <c r="A1226" t="s">
        <v>2526</v>
      </c>
      <c r="B1226" s="5">
        <v>46217</v>
      </c>
      <c r="C1226" t="s">
        <v>2515</v>
      </c>
      <c r="I1226" s="6">
        <v>0</v>
      </c>
      <c r="J1226" t="s">
        <v>680</v>
      </c>
      <c r="K1226" t="s">
        <v>681</v>
      </c>
    </row>
    <row r="1227" spans="1:11">
      <c r="A1227" t="s">
        <v>2527</v>
      </c>
      <c r="B1227" s="5">
        <v>46218</v>
      </c>
      <c r="C1227" t="s">
        <v>2515</v>
      </c>
      <c r="I1227" s="6">
        <v>0</v>
      </c>
      <c r="J1227" t="s">
        <v>680</v>
      </c>
      <c r="K1227" t="s">
        <v>681</v>
      </c>
    </row>
    <row r="1228" spans="1:11">
      <c r="A1228" t="s">
        <v>2528</v>
      </c>
      <c r="B1228" s="5">
        <v>46219</v>
      </c>
      <c r="C1228" t="s">
        <v>2515</v>
      </c>
      <c r="I1228" s="6">
        <v>0</v>
      </c>
      <c r="J1228" t="s">
        <v>680</v>
      </c>
      <c r="K1228" t="s">
        <v>681</v>
      </c>
    </row>
    <row r="1229" spans="1:11">
      <c r="A1229" t="s">
        <v>2529</v>
      </c>
      <c r="B1229" s="5">
        <v>46204</v>
      </c>
      <c r="C1229" t="s">
        <v>2530</v>
      </c>
      <c r="D1229" t="s">
        <v>67</v>
      </c>
      <c r="E1229" t="s">
        <v>28</v>
      </c>
      <c r="F1229" t="s">
        <v>179</v>
      </c>
      <c r="G1229" t="s">
        <v>1263</v>
      </c>
      <c r="H1229" t="s">
        <v>1264</v>
      </c>
      <c r="I1229" s="6">
        <v>12</v>
      </c>
      <c r="J1229" t="s">
        <v>71</v>
      </c>
      <c r="K1229" t="s">
        <v>1265</v>
      </c>
    </row>
    <row r="1230" spans="1:11">
      <c r="A1230" t="s">
        <v>2531</v>
      </c>
      <c r="B1230" s="5">
        <v>46205</v>
      </c>
      <c r="C1230" t="s">
        <v>2530</v>
      </c>
      <c r="D1230" t="s">
        <v>67</v>
      </c>
      <c r="E1230" t="s">
        <v>28</v>
      </c>
      <c r="F1230" t="s">
        <v>179</v>
      </c>
      <c r="G1230" t="s">
        <v>1263</v>
      </c>
      <c r="H1230" t="s">
        <v>1264</v>
      </c>
      <c r="I1230" s="6">
        <v>12</v>
      </c>
      <c r="J1230" t="s">
        <v>71</v>
      </c>
      <c r="K1230" t="s">
        <v>1265</v>
      </c>
    </row>
    <row r="1231" spans="1:11">
      <c r="A1231" t="s">
        <v>2532</v>
      </c>
      <c r="B1231" s="5">
        <v>46206</v>
      </c>
      <c r="C1231" t="s">
        <v>2530</v>
      </c>
      <c r="D1231" t="s">
        <v>67</v>
      </c>
      <c r="E1231" t="s">
        <v>28</v>
      </c>
      <c r="F1231" t="s">
        <v>179</v>
      </c>
      <c r="G1231" t="s">
        <v>1263</v>
      </c>
      <c r="H1231" t="s">
        <v>1264</v>
      </c>
      <c r="I1231" s="6">
        <v>12</v>
      </c>
      <c r="J1231" t="s">
        <v>71</v>
      </c>
      <c r="K1231" t="s">
        <v>1265</v>
      </c>
    </row>
    <row r="1232" spans="1:11">
      <c r="A1232" t="s">
        <v>2533</v>
      </c>
      <c r="B1232" s="5">
        <v>46209</v>
      </c>
      <c r="C1232" t="s">
        <v>2530</v>
      </c>
      <c r="D1232" t="s">
        <v>67</v>
      </c>
      <c r="E1232" t="s">
        <v>28</v>
      </c>
      <c r="F1232" t="s">
        <v>179</v>
      </c>
      <c r="G1232" t="s">
        <v>1263</v>
      </c>
      <c r="H1232" t="s">
        <v>1264</v>
      </c>
      <c r="I1232" s="6">
        <v>12</v>
      </c>
      <c r="J1232" t="s">
        <v>71</v>
      </c>
      <c r="K1232" t="s">
        <v>1265</v>
      </c>
    </row>
    <row r="1233" spans="1:11">
      <c r="A1233" t="s">
        <v>2534</v>
      </c>
      <c r="B1233" s="5">
        <v>46210</v>
      </c>
      <c r="C1233" t="s">
        <v>2530</v>
      </c>
      <c r="D1233" t="s">
        <v>67</v>
      </c>
      <c r="E1233" t="s">
        <v>28</v>
      </c>
      <c r="F1233" t="s">
        <v>179</v>
      </c>
      <c r="G1233" t="s">
        <v>1263</v>
      </c>
      <c r="H1233" t="s">
        <v>1264</v>
      </c>
      <c r="I1233" s="6">
        <v>12</v>
      </c>
      <c r="J1233" t="s">
        <v>71</v>
      </c>
      <c r="K1233" t="s">
        <v>1265</v>
      </c>
    </row>
    <row r="1234" spans="1:11">
      <c r="A1234" t="s">
        <v>2535</v>
      </c>
      <c r="B1234" s="5">
        <v>46211</v>
      </c>
      <c r="C1234" t="s">
        <v>2530</v>
      </c>
      <c r="D1234" t="s">
        <v>67</v>
      </c>
      <c r="E1234" t="s">
        <v>28</v>
      </c>
      <c r="F1234" t="s">
        <v>179</v>
      </c>
      <c r="G1234" t="s">
        <v>1263</v>
      </c>
      <c r="H1234" t="s">
        <v>1264</v>
      </c>
      <c r="I1234" s="6">
        <v>12</v>
      </c>
      <c r="J1234" t="s">
        <v>71</v>
      </c>
      <c r="K1234" t="s">
        <v>1265</v>
      </c>
    </row>
    <row r="1235" spans="1:11">
      <c r="A1235" t="s">
        <v>2536</v>
      </c>
      <c r="B1235" s="5">
        <v>46212</v>
      </c>
      <c r="C1235" t="s">
        <v>2530</v>
      </c>
      <c r="D1235" t="s">
        <v>67</v>
      </c>
      <c r="E1235" t="s">
        <v>28</v>
      </c>
      <c r="F1235" t="s">
        <v>179</v>
      </c>
      <c r="G1235" t="s">
        <v>1263</v>
      </c>
      <c r="H1235" t="s">
        <v>1264</v>
      </c>
      <c r="I1235" s="6">
        <v>12</v>
      </c>
      <c r="J1235" t="s">
        <v>71</v>
      </c>
      <c r="K1235" t="s">
        <v>1265</v>
      </c>
    </row>
    <row r="1236" spans="1:11">
      <c r="A1236" t="s">
        <v>2537</v>
      </c>
      <c r="B1236" s="5">
        <v>46213</v>
      </c>
      <c r="C1236" t="s">
        <v>2530</v>
      </c>
      <c r="D1236" t="s">
        <v>67</v>
      </c>
      <c r="E1236" t="s">
        <v>28</v>
      </c>
      <c r="F1236" t="s">
        <v>179</v>
      </c>
      <c r="G1236" t="s">
        <v>1263</v>
      </c>
      <c r="H1236" t="s">
        <v>1264</v>
      </c>
      <c r="I1236" s="6">
        <v>12</v>
      </c>
      <c r="J1236" t="s">
        <v>71</v>
      </c>
      <c r="K1236" t="s">
        <v>1265</v>
      </c>
    </row>
    <row r="1237" spans="1:11">
      <c r="A1237" t="s">
        <v>2538</v>
      </c>
      <c r="B1237" s="5">
        <v>46216</v>
      </c>
      <c r="C1237" t="s">
        <v>2530</v>
      </c>
      <c r="D1237" t="s">
        <v>67</v>
      </c>
      <c r="E1237" t="s">
        <v>28</v>
      </c>
      <c r="F1237" t="s">
        <v>179</v>
      </c>
      <c r="G1237" t="s">
        <v>1263</v>
      </c>
      <c r="H1237" t="s">
        <v>1264</v>
      </c>
      <c r="I1237" s="6">
        <v>12</v>
      </c>
      <c r="J1237" t="s">
        <v>71</v>
      </c>
      <c r="K1237" t="s">
        <v>1265</v>
      </c>
    </row>
    <row r="1238" spans="1:11">
      <c r="A1238" t="s">
        <v>2539</v>
      </c>
      <c r="B1238" s="5">
        <v>46217</v>
      </c>
      <c r="C1238" t="s">
        <v>2530</v>
      </c>
      <c r="D1238" t="s">
        <v>67</v>
      </c>
      <c r="E1238" t="s">
        <v>28</v>
      </c>
      <c r="F1238" t="s">
        <v>179</v>
      </c>
      <c r="G1238" t="s">
        <v>1263</v>
      </c>
      <c r="H1238" t="s">
        <v>1264</v>
      </c>
      <c r="I1238" s="6">
        <v>12</v>
      </c>
      <c r="J1238" t="s">
        <v>71</v>
      </c>
      <c r="K1238" t="s">
        <v>1265</v>
      </c>
    </row>
    <row r="1239" spans="1:11">
      <c r="A1239" t="s">
        <v>2540</v>
      </c>
      <c r="B1239" s="5">
        <v>46218</v>
      </c>
      <c r="C1239" t="s">
        <v>2530</v>
      </c>
      <c r="D1239" t="s">
        <v>67</v>
      </c>
      <c r="E1239" t="s">
        <v>28</v>
      </c>
      <c r="F1239" t="s">
        <v>179</v>
      </c>
      <c r="G1239" t="s">
        <v>1263</v>
      </c>
      <c r="H1239" t="s">
        <v>1264</v>
      </c>
      <c r="I1239" s="6">
        <v>12</v>
      </c>
      <c r="J1239" t="s">
        <v>71</v>
      </c>
      <c r="K1239" t="s">
        <v>1265</v>
      </c>
    </row>
    <row r="1240" spans="1:11">
      <c r="A1240" t="s">
        <v>2541</v>
      </c>
      <c r="B1240" s="5">
        <v>46204</v>
      </c>
      <c r="C1240" t="s">
        <v>2542</v>
      </c>
      <c r="D1240" t="s">
        <v>67</v>
      </c>
      <c r="E1240" t="s">
        <v>9</v>
      </c>
      <c r="F1240" t="s">
        <v>504</v>
      </c>
      <c r="G1240" t="s">
        <v>2241</v>
      </c>
      <c r="H1240" t="s">
        <v>2242</v>
      </c>
      <c r="I1240" s="6">
        <v>10</v>
      </c>
      <c r="J1240" t="s">
        <v>95</v>
      </c>
      <c r="K1240" t="s">
        <v>2543</v>
      </c>
    </row>
    <row r="1241" spans="1:11">
      <c r="A1241" t="s">
        <v>2544</v>
      </c>
      <c r="B1241" s="5">
        <v>46205</v>
      </c>
      <c r="C1241" t="s">
        <v>2542</v>
      </c>
      <c r="D1241" t="s">
        <v>67</v>
      </c>
      <c r="E1241" t="s">
        <v>9</v>
      </c>
      <c r="F1241" t="s">
        <v>82</v>
      </c>
      <c r="G1241" t="s">
        <v>856</v>
      </c>
      <c r="H1241" t="s">
        <v>857</v>
      </c>
      <c r="I1241" s="6">
        <v>10.5</v>
      </c>
      <c r="J1241" t="s">
        <v>71</v>
      </c>
      <c r="K1241" t="s">
        <v>2545</v>
      </c>
    </row>
    <row r="1242" spans="1:11">
      <c r="A1242" t="s">
        <v>2546</v>
      </c>
      <c r="B1242" s="5">
        <v>46209</v>
      </c>
      <c r="C1242" t="s">
        <v>2542</v>
      </c>
      <c r="D1242" t="s">
        <v>67</v>
      </c>
      <c r="E1242" t="s">
        <v>9</v>
      </c>
      <c r="F1242" t="s">
        <v>82</v>
      </c>
      <c r="G1242" t="s">
        <v>2547</v>
      </c>
      <c r="H1242" t="s">
        <v>2548</v>
      </c>
      <c r="I1242" s="6">
        <v>6</v>
      </c>
      <c r="J1242" t="s">
        <v>71</v>
      </c>
      <c r="K1242" t="s">
        <v>2549</v>
      </c>
    </row>
    <row r="1243" spans="1:11">
      <c r="A1243" t="s">
        <v>2550</v>
      </c>
      <c r="B1243" s="5">
        <v>46212</v>
      </c>
      <c r="C1243" t="s">
        <v>2542</v>
      </c>
      <c r="D1243" t="s">
        <v>67</v>
      </c>
      <c r="E1243" t="s">
        <v>503</v>
      </c>
      <c r="F1243" t="s">
        <v>504</v>
      </c>
      <c r="G1243" t="s">
        <v>2551</v>
      </c>
      <c r="H1243" t="s">
        <v>2552</v>
      </c>
      <c r="I1243" s="6">
        <v>6.25</v>
      </c>
      <c r="J1243" t="s">
        <v>95</v>
      </c>
      <c r="K1243" t="s">
        <v>2553</v>
      </c>
    </row>
    <row r="1244" spans="1:11">
      <c r="A1244" t="s">
        <v>2554</v>
      </c>
      <c r="B1244" s="5">
        <v>46213</v>
      </c>
      <c r="C1244" t="s">
        <v>2542</v>
      </c>
      <c r="D1244" t="s">
        <v>67</v>
      </c>
      <c r="E1244" t="s">
        <v>9</v>
      </c>
      <c r="F1244" t="s">
        <v>504</v>
      </c>
      <c r="G1244" t="s">
        <v>2313</v>
      </c>
      <c r="H1244" t="s">
        <v>2314</v>
      </c>
      <c r="I1244" s="6">
        <v>5.5</v>
      </c>
      <c r="J1244" t="s">
        <v>95</v>
      </c>
      <c r="K1244" t="s">
        <v>2555</v>
      </c>
    </row>
    <row r="1245" spans="1:11">
      <c r="A1245" t="s">
        <v>2556</v>
      </c>
      <c r="B1245" s="5">
        <v>46205</v>
      </c>
      <c r="C1245" t="s">
        <v>2557</v>
      </c>
      <c r="D1245" t="s">
        <v>67</v>
      </c>
      <c r="E1245" t="s">
        <v>24</v>
      </c>
      <c r="F1245" t="s">
        <v>68</v>
      </c>
      <c r="G1245" t="s">
        <v>627</v>
      </c>
      <c r="H1245" t="s">
        <v>628</v>
      </c>
      <c r="I1245" s="6">
        <v>8.5</v>
      </c>
      <c r="J1245" t="s">
        <v>71</v>
      </c>
      <c r="K1245" t="s">
        <v>2558</v>
      </c>
    </row>
    <row r="1246" spans="1:11">
      <c r="A1246" t="s">
        <v>2559</v>
      </c>
      <c r="B1246" s="5">
        <v>46206</v>
      </c>
      <c r="C1246" t="s">
        <v>2557</v>
      </c>
      <c r="D1246" t="s">
        <v>67</v>
      </c>
      <c r="E1246" t="s">
        <v>24</v>
      </c>
      <c r="F1246" t="s">
        <v>68</v>
      </c>
      <c r="G1246" t="s">
        <v>633</v>
      </c>
      <c r="H1246" t="s">
        <v>407</v>
      </c>
      <c r="I1246" s="6">
        <v>6.5</v>
      </c>
      <c r="J1246" t="s">
        <v>71</v>
      </c>
      <c r="K1246" t="s">
        <v>817</v>
      </c>
    </row>
    <row r="1247" spans="1:11">
      <c r="A1247" t="s">
        <v>2560</v>
      </c>
      <c r="B1247" s="5">
        <v>46209</v>
      </c>
      <c r="C1247" t="s">
        <v>2557</v>
      </c>
      <c r="D1247" t="s">
        <v>67</v>
      </c>
      <c r="E1247" t="s">
        <v>24</v>
      </c>
      <c r="F1247" t="s">
        <v>82</v>
      </c>
      <c r="G1247" t="s">
        <v>823</v>
      </c>
      <c r="H1247" t="s">
        <v>399</v>
      </c>
      <c r="I1247" s="6">
        <v>9</v>
      </c>
      <c r="J1247" t="s">
        <v>71</v>
      </c>
      <c r="K1247" t="s">
        <v>2561</v>
      </c>
    </row>
    <row r="1248" spans="1:11">
      <c r="A1248" t="s">
        <v>2562</v>
      </c>
      <c r="B1248" s="5">
        <v>46210</v>
      </c>
      <c r="C1248" t="s">
        <v>2557</v>
      </c>
      <c r="D1248" t="s">
        <v>67</v>
      </c>
      <c r="E1248" t="s">
        <v>24</v>
      </c>
      <c r="F1248" t="s">
        <v>82</v>
      </c>
      <c r="G1248" t="s">
        <v>2563</v>
      </c>
      <c r="H1248" t="s">
        <v>399</v>
      </c>
      <c r="I1248" s="6">
        <v>15</v>
      </c>
      <c r="J1248" t="s">
        <v>95</v>
      </c>
      <c r="K1248" t="s">
        <v>2564</v>
      </c>
    </row>
    <row r="1249" spans="1:11">
      <c r="A1249" t="s">
        <v>2565</v>
      </c>
      <c r="B1249" s="5">
        <v>46211</v>
      </c>
      <c r="C1249" t="s">
        <v>2557</v>
      </c>
      <c r="D1249" t="s">
        <v>67</v>
      </c>
      <c r="E1249" t="s">
        <v>24</v>
      </c>
      <c r="F1249" t="s">
        <v>68</v>
      </c>
      <c r="G1249" t="s">
        <v>392</v>
      </c>
      <c r="H1249" t="s">
        <v>393</v>
      </c>
      <c r="I1249" s="6">
        <v>8</v>
      </c>
      <c r="J1249" t="s">
        <v>71</v>
      </c>
      <c r="K1249" t="s">
        <v>2566</v>
      </c>
    </row>
    <row r="1250" spans="1:11">
      <c r="A1250" t="s">
        <v>2567</v>
      </c>
      <c r="B1250" s="5">
        <v>46212</v>
      </c>
      <c r="C1250" t="s">
        <v>2557</v>
      </c>
      <c r="D1250" t="s">
        <v>67</v>
      </c>
      <c r="E1250" t="s">
        <v>24</v>
      </c>
      <c r="F1250" t="s">
        <v>68</v>
      </c>
      <c r="G1250" t="s">
        <v>633</v>
      </c>
      <c r="H1250" t="s">
        <v>407</v>
      </c>
      <c r="I1250" s="6">
        <v>8</v>
      </c>
      <c r="J1250" t="s">
        <v>71</v>
      </c>
      <c r="K1250" t="s">
        <v>829</v>
      </c>
    </row>
    <row r="1251" spans="1:11">
      <c r="A1251" t="s">
        <v>2568</v>
      </c>
      <c r="B1251" s="5">
        <v>46213</v>
      </c>
      <c r="C1251" t="s">
        <v>2557</v>
      </c>
      <c r="D1251" t="s">
        <v>67</v>
      </c>
      <c r="E1251" t="s">
        <v>24</v>
      </c>
      <c r="F1251" t="s">
        <v>68</v>
      </c>
      <c r="G1251" t="s">
        <v>2569</v>
      </c>
      <c r="H1251" t="s">
        <v>399</v>
      </c>
      <c r="I1251" s="6">
        <v>7</v>
      </c>
      <c r="J1251" t="s">
        <v>71</v>
      </c>
      <c r="K1251" t="s">
        <v>2570</v>
      </c>
    </row>
    <row r="1252" spans="1:11">
      <c r="A1252" t="s">
        <v>2571</v>
      </c>
      <c r="B1252" s="5">
        <v>46216</v>
      </c>
      <c r="C1252" t="s">
        <v>2557</v>
      </c>
      <c r="D1252" t="s">
        <v>67</v>
      </c>
      <c r="E1252" t="s">
        <v>24</v>
      </c>
      <c r="F1252" t="s">
        <v>82</v>
      </c>
      <c r="G1252" t="s">
        <v>627</v>
      </c>
      <c r="H1252" t="s">
        <v>628</v>
      </c>
      <c r="I1252" s="6">
        <v>5</v>
      </c>
      <c r="J1252" t="s">
        <v>71</v>
      </c>
      <c r="K1252" t="s">
        <v>639</v>
      </c>
    </row>
    <row r="1253" spans="1:11">
      <c r="A1253" t="s">
        <v>2572</v>
      </c>
      <c r="B1253" s="5">
        <v>46217</v>
      </c>
      <c r="C1253" t="s">
        <v>2557</v>
      </c>
      <c r="D1253" t="s">
        <v>67</v>
      </c>
      <c r="E1253" t="s">
        <v>24</v>
      </c>
      <c r="F1253" t="s">
        <v>68</v>
      </c>
      <c r="G1253" t="s">
        <v>633</v>
      </c>
      <c r="H1253" t="s">
        <v>407</v>
      </c>
      <c r="I1253" s="6">
        <v>7.5</v>
      </c>
      <c r="J1253" t="s">
        <v>71</v>
      </c>
      <c r="K1253" t="s">
        <v>833</v>
      </c>
    </row>
    <row r="1254" spans="1:11">
      <c r="A1254" t="s">
        <v>2573</v>
      </c>
      <c r="B1254" s="5">
        <v>46218</v>
      </c>
      <c r="C1254" t="s">
        <v>2557</v>
      </c>
      <c r="D1254" t="s">
        <v>67</v>
      </c>
      <c r="E1254" t="s">
        <v>24</v>
      </c>
      <c r="F1254" t="s">
        <v>82</v>
      </c>
      <c r="G1254" t="s">
        <v>2119</v>
      </c>
      <c r="H1254" t="s">
        <v>2120</v>
      </c>
      <c r="I1254" s="6">
        <v>3</v>
      </c>
      <c r="J1254" t="s">
        <v>71</v>
      </c>
      <c r="K1254" t="s">
        <v>2574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56"/>
  <sheetViews>
    <sheetView tabSelected="1" workbookViewId="0">
      <selection activeCell="F6" sqref="F6"/>
    </sheetView>
  </sheetViews>
  <sheetFormatPr defaultRowHeight="14"/>
  <cols>
    <col min="1" max="2" width="18" customWidth="1"/>
    <col min="3" max="3" width="28" customWidth="1"/>
    <col min="4" max="4" width="20" customWidth="1"/>
    <col min="5" max="5" width="22" customWidth="1"/>
    <col min="6" max="6" width="50" customWidth="1"/>
    <col min="7" max="7" width="14" customWidth="1"/>
    <col min="8" max="8" width="70" customWidth="1"/>
  </cols>
  <sheetData>
    <row r="1" spans="1:40" ht="20">
      <c r="A1" s="8" t="s">
        <v>2575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40">
      <c r="A3" t="s">
        <v>2576</v>
      </c>
      <c r="B3" t="s">
        <v>1544</v>
      </c>
      <c r="D3" t="s">
        <v>2577</v>
      </c>
      <c r="E3" s="5">
        <v>46082</v>
      </c>
      <c r="G3" s="5">
        <v>46112</v>
      </c>
      <c r="H3" s="5">
        <v>46219</v>
      </c>
    </row>
    <row r="5" spans="1:40">
      <c r="A5" s="1" t="s">
        <v>2578</v>
      </c>
      <c r="B5" s="1" t="s">
        <v>2579</v>
      </c>
      <c r="C5" s="1" t="s">
        <v>2580</v>
      </c>
      <c r="D5" s="1" t="s">
        <v>2581</v>
      </c>
      <c r="E5" s="1" t="s">
        <v>2582</v>
      </c>
      <c r="F5" s="1" t="s">
        <v>2583</v>
      </c>
      <c r="G5" s="1" t="s">
        <v>2584</v>
      </c>
    </row>
    <row r="6" spans="1:40" ht="52" customHeight="1">
      <c r="A6" s="7" t="str">
        <f>IF(OR(AH6&lt;$E$3,AH6&gt;$H$3),"",TEXT(AH6,"d mmm")&amp;CHAR(10)&amp;IFERROR(VLOOKUP($B$3&amp;"|"&amp;TEXT(AH6,"yyyy-mm-dd"),'Activity Daily Summary'!$A$4:$K$1254,10,FALSE),"No recorded activity"))</f>
        <v/>
      </c>
      <c r="B6" s="7" t="str">
        <f>IF(OR(AI6&lt;$E$3,AI6&gt;$H$3),"",TEXT(AI6,"d mmm")&amp;CHAR(10)&amp;IFERROR(VLOOKUP($B$3&amp;"|"&amp;TEXT(AI6,"yyyy-mm-dd"),'Activity Daily Summary'!$A$4:$K$1254,10,FALSE),"No recorded activity"))</f>
        <v/>
      </c>
      <c r="C6" s="7" t="str">
        <f>IF(OR(AJ6&lt;$E$3,AJ6&gt;$H$3),"",TEXT(AJ6,"d mmm")&amp;CHAR(10)&amp;IFERROR(VLOOKUP($B$3&amp;"|"&amp;TEXT(AJ6,"yyyy-mm-dd"),'Activity Daily Summary'!$A$4:$K$1254,10,FALSE),"No recorded activity"))</f>
        <v/>
      </c>
      <c r="D6" s="7" t="str">
        <f>IF(OR(AK6&lt;$E$3,AK6&gt;$H$3),"",TEXT(AK6,"d mmm")&amp;CHAR(10)&amp;IFERROR(VLOOKUP($B$3&amp;"|"&amp;TEXT(AK6,"yyyy-mm-dd"),'Activity Daily Summary'!$A$4:$K$1254,10,FALSE),"No recorded activity"))</f>
        <v/>
      </c>
      <c r="E6" s="7" t="str">
        <f>IF(OR(AL6&lt;$E$3,AL6&gt;$H$3),"",TEXT(AL6,"d mmm")&amp;CHAR(10)&amp;IFERROR(VLOOKUP($B$3&amp;"|"&amp;TEXT(AL6,"yyyy-mm-dd"),'Activity Daily Summary'!$A$4:$K$1254,10,FALSE),"No recorded activity"))</f>
        <v/>
      </c>
      <c r="F6" s="7" t="str">
        <f>IF(OR(AM6&lt;$E$3,AM6&gt;$H$3),"",TEXT(AM6,"d mmm")&amp;CHAR(10)&amp;IFERROR(VLOOKUP($B$3&amp;"|"&amp;TEXT(AM6,"yyyy-mm-dd"),'Activity Daily Summary'!$A$4:$K$1254,10,FALSE),"No recorded activity"))</f>
        <v/>
      </c>
      <c r="G6" s="7" t="str">
        <f>IF(OR(AN6&lt;$E$3,AN6&gt;$H$3),"",TEXT(AN6,"d mmm")&amp;CHAR(10)&amp;IFERROR(VLOOKUP($B$3&amp;"|"&amp;TEXT(AN6,"yyyy-mm-dd"),'Activity Daily Summary'!$A$4:$K$1254,10,FALSE),"No recorded activity"))</f>
        <v>1 Mar
No recorded activity</v>
      </c>
      <c r="AH6">
        <f>$E$3-WEEKDAY($E$3,2)+1+0</f>
        <v>46076</v>
      </c>
      <c r="AI6">
        <f>$E$3-WEEKDAY($E$3,2)+1+1</f>
        <v>46077</v>
      </c>
      <c r="AJ6">
        <f>$E$3-WEEKDAY($E$3,2)+1+2</f>
        <v>46078</v>
      </c>
      <c r="AK6">
        <f>$E$3-WEEKDAY($E$3,2)+1+3</f>
        <v>46079</v>
      </c>
      <c r="AL6">
        <f>$E$3-WEEKDAY($E$3,2)+1+4</f>
        <v>46080</v>
      </c>
      <c r="AM6">
        <f>$E$3-WEEKDAY($E$3,2)+1+5</f>
        <v>46081</v>
      </c>
      <c r="AN6">
        <f>$E$3-WEEKDAY($E$3,2)+1+6</f>
        <v>46082</v>
      </c>
    </row>
    <row r="7" spans="1:40" ht="52" customHeight="1">
      <c r="A7" s="7" t="str">
        <f>IF(OR(AH7&lt;$E$3,AH7&gt;$H$3),"",TEXT(AH7,"d mmm")&amp;CHAR(10)&amp;IFERROR(VLOOKUP($B$3&amp;"|"&amp;TEXT(AH7,"yyyy-mm-dd"),'Activity Daily Summary'!$A$4:$K$1254,10,FALSE),"No recorded activity"))</f>
        <v>2 Mar
No recorded activity</v>
      </c>
      <c r="B7" s="7" t="str">
        <f>IF(OR(AI7&lt;$E$3,AI7&gt;$H$3),"",TEXT(AI7,"d mmm")&amp;CHAR(10)&amp;IFERROR(VLOOKUP($B$3&amp;"|"&amp;TEXT(AI7,"yyyy-mm-dd"),'Activity Daily Summary'!$A$4:$K$1254,10,FALSE),"No recorded activity"))</f>
        <v>3 Mar
No recorded activity</v>
      </c>
      <c r="C7" s="7" t="str">
        <f>IF(OR(AJ7&lt;$E$3,AJ7&gt;$H$3),"",TEXT(AJ7,"d mmm")&amp;CHAR(10)&amp;IFERROR(VLOOKUP($B$3&amp;"|"&amp;TEXT(AJ7,"yyyy-mm-dd"),'Activity Daily Summary'!$A$4:$K$1254,10,FALSE),"No recorded activity"))</f>
        <v>4 Mar
No recorded activity</v>
      </c>
      <c r="D7" s="7" t="str">
        <f>IF(OR(AK7&lt;$E$3,AK7&gt;$H$3),"",TEXT(AK7,"d mmm")&amp;CHAR(10)&amp;IFERROR(VLOOKUP($B$3&amp;"|"&amp;TEXT(AK7,"yyyy-mm-dd"),'Activity Daily Summary'!$A$4:$K$1254,10,FALSE),"No recorded activity"))</f>
        <v>5 Mar
No recorded activity</v>
      </c>
      <c r="E7" s="7" t="str">
        <f>IF(OR(AL7&lt;$E$3,AL7&gt;$H$3),"",TEXT(AL7,"d mmm")&amp;CHAR(10)&amp;IFERROR(VLOOKUP($B$3&amp;"|"&amp;TEXT(AL7,"yyyy-mm-dd"),'Activity Daily Summary'!$A$4:$K$1254,10,FALSE),"No recorded activity"))</f>
        <v>6 Mar
No recorded activity</v>
      </c>
      <c r="F7" s="7" t="str">
        <f>IF(OR(AM7&lt;$E$3,AM7&gt;$H$3),"",TEXT(AM7,"d mmm")&amp;CHAR(10)&amp;IFERROR(VLOOKUP($B$3&amp;"|"&amp;TEXT(AM7,"yyyy-mm-dd"),'Activity Daily Summary'!$A$4:$K$1254,10,FALSE),"No recorded activity"))</f>
        <v>7 Mar
No recorded activity</v>
      </c>
      <c r="G7" s="7" t="str">
        <f>IF(OR(AN7&lt;$E$3,AN7&gt;$H$3),"",TEXT(AN7,"d mmm")&amp;CHAR(10)&amp;IFERROR(VLOOKUP($B$3&amp;"|"&amp;TEXT(AN7,"yyyy-mm-dd"),'Activity Daily Summary'!$A$4:$K$1254,10,FALSE),"No recorded activity"))</f>
        <v>8 Mar
No recorded activity</v>
      </c>
      <c r="AH7">
        <f>$E$3-WEEKDAY($E$3,2)+1+7</f>
        <v>46083</v>
      </c>
      <c r="AI7">
        <f>$E$3-WEEKDAY($E$3,2)+1+8</f>
        <v>46084</v>
      </c>
      <c r="AJ7">
        <f>$E$3-WEEKDAY($E$3,2)+1+9</f>
        <v>46085</v>
      </c>
      <c r="AK7">
        <f>$E$3-WEEKDAY($E$3,2)+1+10</f>
        <v>46086</v>
      </c>
      <c r="AL7">
        <f>$E$3-WEEKDAY($E$3,2)+1+11</f>
        <v>46087</v>
      </c>
      <c r="AM7">
        <f>$E$3-WEEKDAY($E$3,2)+1+12</f>
        <v>46088</v>
      </c>
      <c r="AN7">
        <f>$E$3-WEEKDAY($E$3,2)+1+13</f>
        <v>46089</v>
      </c>
    </row>
    <row r="8" spans="1:40" ht="52" customHeight="1">
      <c r="A8" s="7" t="str">
        <f>IF(OR(AH8&lt;$E$3,AH8&gt;$H$3),"",TEXT(AH8,"d mmm")&amp;CHAR(10)&amp;IFERROR(VLOOKUP($B$3&amp;"|"&amp;TEXT(AH8,"yyyy-mm-dd"),'Activity Daily Summary'!$A$4:$K$1254,10,FALSE),"No recorded activity"))</f>
        <v>9 Mar
No recorded activity</v>
      </c>
      <c r="B8" s="7" t="str">
        <f>IF(OR(AI8&lt;$E$3,AI8&gt;$H$3),"",TEXT(AI8,"d mmm")&amp;CHAR(10)&amp;IFERROR(VLOOKUP($B$3&amp;"|"&amp;TEXT(AI8,"yyyy-mm-dd"),'Activity Daily Summary'!$A$4:$K$1254,10,FALSE),"No recorded activity"))</f>
        <v>10 Mar
No recorded activity</v>
      </c>
      <c r="C8" s="7" t="str">
        <f>IF(OR(AJ8&lt;$E$3,AJ8&gt;$H$3),"",TEXT(AJ8,"d mmm")&amp;CHAR(10)&amp;IFERROR(VLOOKUP($B$3&amp;"|"&amp;TEXT(AJ8,"yyyy-mm-dd"),'Activity Daily Summary'!$A$4:$K$1254,10,FALSE),"No recorded activity"))</f>
        <v>11 Mar
No recorded activity</v>
      </c>
      <c r="D8" s="7" t="str">
        <f>IF(OR(AK8&lt;$E$3,AK8&gt;$H$3),"",TEXT(AK8,"d mmm")&amp;CHAR(10)&amp;IFERROR(VLOOKUP($B$3&amp;"|"&amp;TEXT(AK8,"yyyy-mm-dd"),'Activity Daily Summary'!$A$4:$K$1254,10,FALSE),"No recorded activity"))</f>
        <v>12 Mar
No recorded activity</v>
      </c>
      <c r="E8" s="7" t="str">
        <f>IF(OR(AL8&lt;$E$3,AL8&gt;$H$3),"",TEXT(AL8,"d mmm")&amp;CHAR(10)&amp;IFERROR(VLOOKUP($B$3&amp;"|"&amp;TEXT(AL8,"yyyy-mm-dd"),'Activity Daily Summary'!$A$4:$K$1254,10,FALSE),"No recorded activity"))</f>
        <v>13 Mar
No recorded activity</v>
      </c>
      <c r="F8" s="7" t="str">
        <f>IF(OR(AM8&lt;$E$3,AM8&gt;$H$3),"",TEXT(AM8,"d mmm")&amp;CHAR(10)&amp;IFERROR(VLOOKUP($B$3&amp;"|"&amp;TEXT(AM8,"yyyy-mm-dd"),'Activity Daily Summary'!$A$4:$K$1254,10,FALSE),"No recorded activity"))</f>
        <v>14 Mar
No recorded activity</v>
      </c>
      <c r="G8" s="7" t="str">
        <f>IF(OR(AN8&lt;$E$3,AN8&gt;$H$3),"",TEXT(AN8,"d mmm")&amp;CHAR(10)&amp;IFERROR(VLOOKUP($B$3&amp;"|"&amp;TEXT(AN8,"yyyy-mm-dd"),'Activity Daily Summary'!$A$4:$K$1254,10,FALSE),"No recorded activity"))</f>
        <v>15 Mar
No recorded activity</v>
      </c>
      <c r="AH8">
        <f>$E$3-WEEKDAY($E$3,2)+1+14</f>
        <v>46090</v>
      </c>
      <c r="AI8">
        <f>$E$3-WEEKDAY($E$3,2)+1+15</f>
        <v>46091</v>
      </c>
      <c r="AJ8">
        <f>$E$3-WEEKDAY($E$3,2)+1+16</f>
        <v>46092</v>
      </c>
      <c r="AK8">
        <f>$E$3-WEEKDAY($E$3,2)+1+17</f>
        <v>46093</v>
      </c>
      <c r="AL8">
        <f>$E$3-WEEKDAY($E$3,2)+1+18</f>
        <v>46094</v>
      </c>
      <c r="AM8">
        <f>$E$3-WEEKDAY($E$3,2)+1+19</f>
        <v>46095</v>
      </c>
      <c r="AN8">
        <f>$E$3-WEEKDAY($E$3,2)+1+20</f>
        <v>46096</v>
      </c>
    </row>
    <row r="9" spans="1:40" ht="52" customHeight="1">
      <c r="A9" s="7" t="str">
        <f>IF(OR(AH9&lt;$E$3,AH9&gt;$H$3),"",TEXT(AH9,"d mmm")&amp;CHAR(10)&amp;IFERROR(VLOOKUP($B$3&amp;"|"&amp;TEXT(AH9,"yyyy-mm-dd"),'Activity Daily Summary'!$A$4:$K$1254,10,FALSE),"No recorded activity"))</f>
        <v>16 Mar
No recorded activity</v>
      </c>
      <c r="B9" s="7" t="str">
        <f>IF(OR(AI9&lt;$E$3,AI9&gt;$H$3),"",TEXT(AI9,"d mmm")&amp;CHAR(10)&amp;IFERROR(VLOOKUP($B$3&amp;"|"&amp;TEXT(AI9,"yyyy-mm-dd"),'Activity Daily Summary'!$A$4:$K$1254,10,FALSE),"No recorded activity"))</f>
        <v>17 Mar
No recorded activity</v>
      </c>
      <c r="C9" s="7" t="str">
        <f>IF(OR(AJ9&lt;$E$3,AJ9&gt;$H$3),"",TEXT(AJ9,"d mmm")&amp;CHAR(10)&amp;IFERROR(VLOOKUP($B$3&amp;"|"&amp;TEXT(AJ9,"yyyy-mm-dd"),'Activity Daily Summary'!$A$4:$K$1254,10,FALSE),"No recorded activity"))</f>
        <v>18 Mar
No recorded activity</v>
      </c>
      <c r="D9" s="7" t="str">
        <f>IF(OR(AK9&lt;$E$3,AK9&gt;$H$3),"",TEXT(AK9,"d mmm")&amp;CHAR(10)&amp;IFERROR(VLOOKUP($B$3&amp;"|"&amp;TEXT(AK9,"yyyy-mm-dd"),'Activity Daily Summary'!$A$4:$K$1254,10,FALSE),"No recorded activity"))</f>
        <v>19 Mar
No recorded activity</v>
      </c>
      <c r="E9" s="7" t="str">
        <f>IF(OR(AL9&lt;$E$3,AL9&gt;$H$3),"",TEXT(AL9,"d mmm")&amp;CHAR(10)&amp;IFERROR(VLOOKUP($B$3&amp;"|"&amp;TEXT(AL9,"yyyy-mm-dd"),'Activity Daily Summary'!$A$4:$K$1254,10,FALSE),"No recorded activity"))</f>
        <v>20 Mar
No recorded activity</v>
      </c>
      <c r="F9" s="7" t="str">
        <f>IF(OR(AM9&lt;$E$3,AM9&gt;$H$3),"",TEXT(AM9,"d mmm")&amp;CHAR(10)&amp;IFERROR(VLOOKUP($B$3&amp;"|"&amp;TEXT(AM9,"yyyy-mm-dd"),'Activity Daily Summary'!$A$4:$K$1254,10,FALSE),"No recorded activity"))</f>
        <v>21 Mar
No recorded activity</v>
      </c>
      <c r="G9" s="7" t="str">
        <f>IF(OR(AN9&lt;$E$3,AN9&gt;$H$3),"",TEXT(AN9,"d mmm")&amp;CHAR(10)&amp;IFERROR(VLOOKUP($B$3&amp;"|"&amp;TEXT(AN9,"yyyy-mm-dd"),'Activity Daily Summary'!$A$4:$K$1254,10,FALSE),"No recorded activity"))</f>
        <v>22 Mar
No recorded activity</v>
      </c>
      <c r="AH9">
        <f>$E$3-WEEKDAY($E$3,2)+1+21</f>
        <v>46097</v>
      </c>
      <c r="AI9">
        <f>$E$3-WEEKDAY($E$3,2)+1+22</f>
        <v>46098</v>
      </c>
      <c r="AJ9">
        <f>$E$3-WEEKDAY($E$3,2)+1+23</f>
        <v>46099</v>
      </c>
      <c r="AK9">
        <f>$E$3-WEEKDAY($E$3,2)+1+24</f>
        <v>46100</v>
      </c>
      <c r="AL9">
        <f>$E$3-WEEKDAY($E$3,2)+1+25</f>
        <v>46101</v>
      </c>
      <c r="AM9">
        <f>$E$3-WEEKDAY($E$3,2)+1+26</f>
        <v>46102</v>
      </c>
      <c r="AN9">
        <f>$E$3-WEEKDAY($E$3,2)+1+27</f>
        <v>46103</v>
      </c>
    </row>
    <row r="10" spans="1:40" ht="52" customHeight="1">
      <c r="A10" s="7" t="str">
        <f>IF(OR(AH10&lt;$E$3,AH10&gt;$H$3),"",TEXT(AH10,"d mmm")&amp;CHAR(10)&amp;IFERROR(VLOOKUP($B$3&amp;"|"&amp;TEXT(AH10,"yyyy-mm-dd"),'Activity Daily Summary'!$A$4:$K$1254,10,FALSE),"No recorded activity"))</f>
        <v>23 Mar
No recorded activity</v>
      </c>
      <c r="B10" s="7" t="str">
        <f>IF(OR(AI10&lt;$E$3,AI10&gt;$H$3),"",TEXT(AI10,"d mmm")&amp;CHAR(10)&amp;IFERROR(VLOOKUP($B$3&amp;"|"&amp;TEXT(AI10,"yyyy-mm-dd"),'Activity Daily Summary'!$A$4:$K$1254,10,FALSE),"No recorded activity"))</f>
        <v>24 Mar
No recorded activity</v>
      </c>
      <c r="C10" s="7" t="str">
        <f>IF(OR(AJ10&lt;$E$3,AJ10&gt;$H$3),"",TEXT(AJ10,"d mmm")&amp;CHAR(10)&amp;IFERROR(VLOOKUP($B$3&amp;"|"&amp;TEXT(AJ10,"yyyy-mm-dd"),'Activity Daily Summary'!$A$4:$K$1254,10,FALSE),"No recorded activity"))</f>
        <v>25 Mar
No recorded activity</v>
      </c>
      <c r="D10" s="7" t="str">
        <f>IF(OR(AK10&lt;$E$3,AK10&gt;$H$3),"",TEXT(AK10,"d mmm")&amp;CHAR(10)&amp;IFERROR(VLOOKUP($B$3&amp;"|"&amp;TEXT(AK10,"yyyy-mm-dd"),'Activity Daily Summary'!$A$4:$K$1254,10,FALSE),"No recorded activity"))</f>
        <v>26 Mar
No recorded activity</v>
      </c>
      <c r="E10" s="7" t="str">
        <f>IF(OR(AL10&lt;$E$3,AL10&gt;$H$3),"",TEXT(AL10,"d mmm")&amp;CHAR(10)&amp;IFERROR(VLOOKUP($B$3&amp;"|"&amp;TEXT(AL10,"yyyy-mm-dd"),'Activity Daily Summary'!$A$4:$K$1254,10,FALSE),"No recorded activity"))</f>
        <v>27 Mar
No recorded activity</v>
      </c>
      <c r="F10" s="7" t="str">
        <f>IF(OR(AM10&lt;$E$3,AM10&gt;$H$3),"",TEXT(AM10,"d mmm")&amp;CHAR(10)&amp;IFERROR(VLOOKUP($B$3&amp;"|"&amp;TEXT(AM10,"yyyy-mm-dd"),'Activity Daily Summary'!$A$4:$K$1254,10,FALSE),"No recorded activity"))</f>
        <v>28 Mar
No recorded activity</v>
      </c>
      <c r="G10" s="7" t="str">
        <f>IF(OR(AN10&lt;$E$3,AN10&gt;$H$3),"",TEXT(AN10,"d mmm")&amp;CHAR(10)&amp;IFERROR(VLOOKUP($B$3&amp;"|"&amp;TEXT(AN10,"yyyy-mm-dd"),'Activity Daily Summary'!$A$4:$K$1254,10,FALSE),"No recorded activity"))</f>
        <v>29 Mar
No recorded activity</v>
      </c>
      <c r="AH10">
        <f>$E$3-WEEKDAY($E$3,2)+1+28</f>
        <v>46104</v>
      </c>
      <c r="AI10">
        <f>$E$3-WEEKDAY($E$3,2)+1+29</f>
        <v>46105</v>
      </c>
      <c r="AJ10">
        <f>$E$3-WEEKDAY($E$3,2)+1+30</f>
        <v>46106</v>
      </c>
      <c r="AK10">
        <f>$E$3-WEEKDAY($E$3,2)+1+31</f>
        <v>46107</v>
      </c>
      <c r="AL10">
        <f>$E$3-WEEKDAY($E$3,2)+1+32</f>
        <v>46108</v>
      </c>
      <c r="AM10">
        <f>$E$3-WEEKDAY($E$3,2)+1+33</f>
        <v>46109</v>
      </c>
      <c r="AN10">
        <f>$E$3-WEEKDAY($E$3,2)+1+34</f>
        <v>46110</v>
      </c>
    </row>
    <row r="11" spans="1:40" ht="52" customHeight="1">
      <c r="A11" s="7" t="str">
        <f>IF(OR(AH11&lt;$E$3,AH11&gt;$H$3),"",TEXT(AH11,"d mmm")&amp;CHAR(10)&amp;IFERROR(VLOOKUP($B$3&amp;"|"&amp;TEXT(AH11,"yyyy-mm-dd"),'Activity Daily Summary'!$A$4:$K$1254,10,FALSE),"No recorded activity"))</f>
        <v>30 Mar
No recorded activity</v>
      </c>
      <c r="B11" s="7" t="str">
        <f>IF(OR(AI11&lt;$E$3,AI11&gt;$H$3),"",TEXT(AI11,"d mmm")&amp;CHAR(10)&amp;IFERROR(VLOOKUP($B$3&amp;"|"&amp;TEXT(AI11,"yyyy-mm-dd"),'Activity Daily Summary'!$A$4:$K$1254,10,FALSE),"No recorded activity"))</f>
        <v>31 Mar
No recorded activity</v>
      </c>
      <c r="C11" s="7" t="str">
        <f>IF(OR(AJ11&lt;$E$3,AJ11&gt;$H$3),"",TEXT(AJ11,"d mmm")&amp;CHAR(10)&amp;IFERROR(VLOOKUP($B$3&amp;"|"&amp;TEXT(AJ11,"yyyy-mm-dd"),'Activity Daily Summary'!$A$4:$K$1254,10,FALSE),"No recorded activity"))</f>
        <v>1 Apr
No recorded activity</v>
      </c>
      <c r="D11" s="7" t="str">
        <f>IF(OR(AK11&lt;$E$3,AK11&gt;$H$3),"",TEXT(AK11,"d mmm")&amp;CHAR(10)&amp;IFERROR(VLOOKUP($B$3&amp;"|"&amp;TEXT(AK11,"yyyy-mm-dd"),'Activity Daily Summary'!$A$4:$K$1254,10,FALSE),"No recorded activity"))</f>
        <v>2 Apr
No recorded activity</v>
      </c>
      <c r="E11" s="7" t="str">
        <f>IF(OR(AL11&lt;$E$3,AL11&gt;$H$3),"",TEXT(AL11,"d mmm")&amp;CHAR(10)&amp;IFERROR(VLOOKUP($B$3&amp;"|"&amp;TEXT(AL11,"yyyy-mm-dd"),'Activity Daily Summary'!$A$4:$K$1254,10,FALSE),"No recorded activity"))</f>
        <v>3 Apr
No recorded activity</v>
      </c>
      <c r="F11" s="7" t="str">
        <f>IF(OR(AM11&lt;$E$3,AM11&gt;$H$3),"",TEXT(AM11,"d mmm")&amp;CHAR(10)&amp;IFERROR(VLOOKUP($B$3&amp;"|"&amp;TEXT(AM11,"yyyy-mm-dd"),'Activity Daily Summary'!$A$4:$K$1254,10,FALSE),"No recorded activity"))</f>
        <v>4 Apr
No recorded activity</v>
      </c>
      <c r="G11" s="7" t="str">
        <f>IF(OR(AN11&lt;$E$3,AN11&gt;$H$3),"",TEXT(AN11,"d mmm")&amp;CHAR(10)&amp;IFERROR(VLOOKUP($B$3&amp;"|"&amp;TEXT(AN11,"yyyy-mm-dd"),'Activity Daily Summary'!$A$4:$K$1254,10,FALSE),"No recorded activity"))</f>
        <v>5 Apr
No recorded activity</v>
      </c>
      <c r="AH11">
        <f>$E$3-WEEKDAY($E$3,2)+1+35</f>
        <v>46111</v>
      </c>
      <c r="AI11">
        <f>$E$3-WEEKDAY($E$3,2)+1+36</f>
        <v>46112</v>
      </c>
      <c r="AJ11">
        <f>$E$3-WEEKDAY($E$3,2)+1+37</f>
        <v>46113</v>
      </c>
      <c r="AK11">
        <f>$E$3-WEEKDAY($E$3,2)+1+38</f>
        <v>46114</v>
      </c>
      <c r="AL11">
        <f>$E$3-WEEKDAY($E$3,2)+1+39</f>
        <v>46115</v>
      </c>
      <c r="AM11">
        <f>$E$3-WEEKDAY($E$3,2)+1+40</f>
        <v>46116</v>
      </c>
      <c r="AN11">
        <f>$E$3-WEEKDAY($E$3,2)+1+41</f>
        <v>46117</v>
      </c>
    </row>
    <row r="13" spans="1:40">
      <c r="A13" s="10" t="s">
        <v>2585</v>
      </c>
      <c r="B13" s="10"/>
      <c r="C13" s="10"/>
      <c r="D13" s="10"/>
      <c r="E13" s="10"/>
      <c r="F13" s="10"/>
      <c r="G13" s="10"/>
      <c r="H13" s="10"/>
    </row>
    <row r="14" spans="1:40">
      <c r="A14" s="1" t="s">
        <v>55</v>
      </c>
      <c r="B14" s="1" t="s">
        <v>2586</v>
      </c>
      <c r="C14" s="1" t="s">
        <v>2587</v>
      </c>
      <c r="D14" s="1" t="s">
        <v>5</v>
      </c>
      <c r="E14" s="1" t="s">
        <v>2588</v>
      </c>
      <c r="F14" s="1" t="s">
        <v>2589</v>
      </c>
      <c r="G14" s="1" t="s">
        <v>62</v>
      </c>
      <c r="H14" s="1" t="s">
        <v>2590</v>
      </c>
    </row>
    <row r="15" spans="1:40">
      <c r="A15" s="5">
        <f>IF(0&lt;=$H$3-$E$3,$E$3+0,"")</f>
        <v>46082</v>
      </c>
      <c r="B15" t="str">
        <f t="shared" ref="B15:B56" si="0">IF(A15="","",TEXT(A15,"ddd"))</f>
        <v>Sun</v>
      </c>
      <c r="C15" t="str">
        <f>IF(A15="","",IFERROR(VLOOKUP($B$3&amp;"|"&amp;TEXT(A15,"yyyy-mm-dd"),'Activity Daily Summary'!$A$4:$K$1254,10,FALSE),"No recorded activity"))</f>
        <v>No recorded activity</v>
      </c>
      <c r="D15" t="str">
        <f>IF(A15="","",IFERROR(VLOOKUP($B$3&amp;"|"&amp;TEXT(A15,"yyyy-mm-dd"),'Activity Daily Summary'!$A$4:$K$1254,5,FALSE),""))</f>
        <v/>
      </c>
      <c r="E15" t="str">
        <f>IF(A15="","",IFERROR(VLOOKUP($B$3&amp;"|"&amp;TEXT(A15,"yyyy-mm-dd"),'Activity Daily Summary'!$A$4:$K$1254,6,FALSE),""))</f>
        <v/>
      </c>
      <c r="F15" t="str">
        <f>IF(A15="","",IFERROR(VLOOKUP($B$3&amp;"|"&amp;TEXT(A15,"yyyy-mm-dd"),'Activity Daily Summary'!$A$4:$K$1254,7,FALSE)&amp;IF(VLOOKUP($B$3&amp;"|"&amp;TEXT(A15,"yyyy-mm-dd"),'Activity Daily Summary'!$A$4:$K$1254,8,FALSE)="",""," — "&amp;VLOOKUP($B$3&amp;"|"&amp;TEXT(A15,"yyyy-mm-dd"),'Activity Daily Summary'!$A$4:$K$1254,8,FALSE)),""))</f>
        <v/>
      </c>
      <c r="G15" s="6">
        <f>IF(A15="","",IFERROR(VLOOKUP($B$3&amp;"|"&amp;TEXT(A15,"yyyy-mm-dd"),'Activity Daily Summary'!$A$4:$K$1254,9,FALSE),0))</f>
        <v>0</v>
      </c>
      <c r="H15" t="str">
        <f>IF(A15="","",IFERROR(VLOOKUP($B$3&amp;"|"&amp;TEXT(A15,"yyyy-mm-dd"),'Activity Daily Summary'!$A$4:$K$1254,11,FALSE),"No recorded activity"))</f>
        <v>No recorded activity</v>
      </c>
    </row>
    <row r="16" spans="1:40">
      <c r="A16" s="5">
        <f>IF(1&lt;=$H$3-$E$3,$E$3+1,"")</f>
        <v>46083</v>
      </c>
      <c r="B16" t="str">
        <f t="shared" si="0"/>
        <v>Mon</v>
      </c>
      <c r="C16" t="str">
        <f>IF(A16="","",IFERROR(VLOOKUP($B$3&amp;"|"&amp;TEXT(A16,"yyyy-mm-dd"),'Activity Daily Summary'!$A$4:$K$1254,10,FALSE),"No recorded activity"))</f>
        <v>No recorded activity</v>
      </c>
      <c r="D16" t="str">
        <f>IF(A16="","",IFERROR(VLOOKUP($B$3&amp;"|"&amp;TEXT(A16,"yyyy-mm-dd"),'Activity Daily Summary'!$A$4:$K$1254,5,FALSE),""))</f>
        <v/>
      </c>
      <c r="E16" t="str">
        <f>IF(A16="","",IFERROR(VLOOKUP($B$3&amp;"|"&amp;TEXT(A16,"yyyy-mm-dd"),'Activity Daily Summary'!$A$4:$K$1254,6,FALSE),""))</f>
        <v/>
      </c>
      <c r="F16" t="str">
        <f>IF(A16="","",IFERROR(VLOOKUP($B$3&amp;"|"&amp;TEXT(A16,"yyyy-mm-dd"),'Activity Daily Summary'!$A$4:$K$1254,7,FALSE)&amp;IF(VLOOKUP($B$3&amp;"|"&amp;TEXT(A16,"yyyy-mm-dd"),'Activity Daily Summary'!$A$4:$K$1254,8,FALSE)="",""," — "&amp;VLOOKUP($B$3&amp;"|"&amp;TEXT(A16,"yyyy-mm-dd"),'Activity Daily Summary'!$A$4:$K$1254,8,FALSE)),""))</f>
        <v/>
      </c>
      <c r="G16" s="6">
        <f>IF(A16="","",IFERROR(VLOOKUP($B$3&amp;"|"&amp;TEXT(A16,"yyyy-mm-dd"),'Activity Daily Summary'!$A$4:$K$1254,9,FALSE),0))</f>
        <v>0</v>
      </c>
      <c r="H16" t="str">
        <f>IF(A16="","",IFERROR(VLOOKUP($B$3&amp;"|"&amp;TEXT(A16,"yyyy-mm-dd"),'Activity Daily Summary'!$A$4:$K$1254,11,FALSE),"No recorded activity"))</f>
        <v>No recorded activity</v>
      </c>
    </row>
    <row r="17" spans="1:8">
      <c r="A17" s="5">
        <f>IF(2&lt;=$H$3-$E$3,$E$3+2,"")</f>
        <v>46084</v>
      </c>
      <c r="B17" t="str">
        <f t="shared" si="0"/>
        <v>Tue</v>
      </c>
      <c r="C17" t="str">
        <f>IF(A17="","",IFERROR(VLOOKUP($B$3&amp;"|"&amp;TEXT(A17,"yyyy-mm-dd"),'Activity Daily Summary'!$A$4:$K$1254,10,FALSE),"No recorded activity"))</f>
        <v>No recorded activity</v>
      </c>
      <c r="D17" t="str">
        <f>IF(A17="","",IFERROR(VLOOKUP($B$3&amp;"|"&amp;TEXT(A17,"yyyy-mm-dd"),'Activity Daily Summary'!$A$4:$K$1254,5,FALSE),""))</f>
        <v/>
      </c>
      <c r="E17" t="str">
        <f>IF(A17="","",IFERROR(VLOOKUP($B$3&amp;"|"&amp;TEXT(A17,"yyyy-mm-dd"),'Activity Daily Summary'!$A$4:$K$1254,6,FALSE),""))</f>
        <v/>
      </c>
      <c r="F17" t="str">
        <f>IF(A17="","",IFERROR(VLOOKUP($B$3&amp;"|"&amp;TEXT(A17,"yyyy-mm-dd"),'Activity Daily Summary'!$A$4:$K$1254,7,FALSE)&amp;IF(VLOOKUP($B$3&amp;"|"&amp;TEXT(A17,"yyyy-mm-dd"),'Activity Daily Summary'!$A$4:$K$1254,8,FALSE)="",""," — "&amp;VLOOKUP($B$3&amp;"|"&amp;TEXT(A17,"yyyy-mm-dd"),'Activity Daily Summary'!$A$4:$K$1254,8,FALSE)),""))</f>
        <v/>
      </c>
      <c r="G17" s="6">
        <f>IF(A17="","",IFERROR(VLOOKUP($B$3&amp;"|"&amp;TEXT(A17,"yyyy-mm-dd"),'Activity Daily Summary'!$A$4:$K$1254,9,FALSE),0))</f>
        <v>0</v>
      </c>
      <c r="H17" t="str">
        <f>IF(A17="","",IFERROR(VLOOKUP($B$3&amp;"|"&amp;TEXT(A17,"yyyy-mm-dd"),'Activity Daily Summary'!$A$4:$K$1254,11,FALSE),"No recorded activity"))</f>
        <v>No recorded activity</v>
      </c>
    </row>
    <row r="18" spans="1:8">
      <c r="A18" s="5">
        <f>IF(3&lt;=$H$3-$E$3,$E$3+3,"")</f>
        <v>46085</v>
      </c>
      <c r="B18" t="str">
        <f t="shared" si="0"/>
        <v>Wed</v>
      </c>
      <c r="C18" t="str">
        <f>IF(A18="","",IFERROR(VLOOKUP($B$3&amp;"|"&amp;TEXT(A18,"yyyy-mm-dd"),'Activity Daily Summary'!$A$4:$K$1254,10,FALSE),"No recorded activity"))</f>
        <v>No recorded activity</v>
      </c>
      <c r="D18" t="str">
        <f>IF(A18="","",IFERROR(VLOOKUP($B$3&amp;"|"&amp;TEXT(A18,"yyyy-mm-dd"),'Activity Daily Summary'!$A$4:$K$1254,5,FALSE),""))</f>
        <v/>
      </c>
      <c r="E18" t="str">
        <f>IF(A18="","",IFERROR(VLOOKUP($B$3&amp;"|"&amp;TEXT(A18,"yyyy-mm-dd"),'Activity Daily Summary'!$A$4:$K$1254,6,FALSE),""))</f>
        <v/>
      </c>
      <c r="F18" t="str">
        <f>IF(A18="","",IFERROR(VLOOKUP($B$3&amp;"|"&amp;TEXT(A18,"yyyy-mm-dd"),'Activity Daily Summary'!$A$4:$K$1254,7,FALSE)&amp;IF(VLOOKUP($B$3&amp;"|"&amp;TEXT(A18,"yyyy-mm-dd"),'Activity Daily Summary'!$A$4:$K$1254,8,FALSE)="",""," — "&amp;VLOOKUP($B$3&amp;"|"&amp;TEXT(A18,"yyyy-mm-dd"),'Activity Daily Summary'!$A$4:$K$1254,8,FALSE)),""))</f>
        <v/>
      </c>
      <c r="G18" s="6">
        <f>IF(A18="","",IFERROR(VLOOKUP($B$3&amp;"|"&amp;TEXT(A18,"yyyy-mm-dd"),'Activity Daily Summary'!$A$4:$K$1254,9,FALSE),0))</f>
        <v>0</v>
      </c>
      <c r="H18" t="str">
        <f>IF(A18="","",IFERROR(VLOOKUP($B$3&amp;"|"&amp;TEXT(A18,"yyyy-mm-dd"),'Activity Daily Summary'!$A$4:$K$1254,11,FALSE),"No recorded activity"))</f>
        <v>No recorded activity</v>
      </c>
    </row>
    <row r="19" spans="1:8">
      <c r="A19" s="5">
        <f>IF(4&lt;=$H$3-$E$3,$E$3+4,"")</f>
        <v>46086</v>
      </c>
      <c r="B19" t="str">
        <f t="shared" si="0"/>
        <v>Thu</v>
      </c>
      <c r="C19" t="str">
        <f>IF(A19="","",IFERROR(VLOOKUP($B$3&amp;"|"&amp;TEXT(A19,"yyyy-mm-dd"),'Activity Daily Summary'!$A$4:$K$1254,10,FALSE),"No recorded activity"))</f>
        <v>No recorded activity</v>
      </c>
      <c r="D19" t="str">
        <f>IF(A19="","",IFERROR(VLOOKUP($B$3&amp;"|"&amp;TEXT(A19,"yyyy-mm-dd"),'Activity Daily Summary'!$A$4:$K$1254,5,FALSE),""))</f>
        <v/>
      </c>
      <c r="E19" t="str">
        <f>IF(A19="","",IFERROR(VLOOKUP($B$3&amp;"|"&amp;TEXT(A19,"yyyy-mm-dd"),'Activity Daily Summary'!$A$4:$K$1254,6,FALSE),""))</f>
        <v/>
      </c>
      <c r="F19" t="str">
        <f>IF(A19="","",IFERROR(VLOOKUP($B$3&amp;"|"&amp;TEXT(A19,"yyyy-mm-dd"),'Activity Daily Summary'!$A$4:$K$1254,7,FALSE)&amp;IF(VLOOKUP($B$3&amp;"|"&amp;TEXT(A19,"yyyy-mm-dd"),'Activity Daily Summary'!$A$4:$K$1254,8,FALSE)="",""," — "&amp;VLOOKUP($B$3&amp;"|"&amp;TEXT(A19,"yyyy-mm-dd"),'Activity Daily Summary'!$A$4:$K$1254,8,FALSE)),""))</f>
        <v/>
      </c>
      <c r="G19" s="6">
        <f>IF(A19="","",IFERROR(VLOOKUP($B$3&amp;"|"&amp;TEXT(A19,"yyyy-mm-dd"),'Activity Daily Summary'!$A$4:$K$1254,9,FALSE),0))</f>
        <v>0</v>
      </c>
      <c r="H19" t="str">
        <f>IF(A19="","",IFERROR(VLOOKUP($B$3&amp;"|"&amp;TEXT(A19,"yyyy-mm-dd"),'Activity Daily Summary'!$A$4:$K$1254,11,FALSE),"No recorded activity"))</f>
        <v>No recorded activity</v>
      </c>
    </row>
    <row r="20" spans="1:8">
      <c r="A20" s="5">
        <f>IF(5&lt;=$H$3-$E$3,$E$3+5,"")</f>
        <v>46087</v>
      </c>
      <c r="B20" t="str">
        <f t="shared" si="0"/>
        <v>Fri</v>
      </c>
      <c r="C20" t="str">
        <f>IF(A20="","",IFERROR(VLOOKUP($B$3&amp;"|"&amp;TEXT(A20,"yyyy-mm-dd"),'Activity Daily Summary'!$A$4:$K$1254,10,FALSE),"No recorded activity"))</f>
        <v>No recorded activity</v>
      </c>
      <c r="D20" t="str">
        <f>IF(A20="","",IFERROR(VLOOKUP($B$3&amp;"|"&amp;TEXT(A20,"yyyy-mm-dd"),'Activity Daily Summary'!$A$4:$K$1254,5,FALSE),""))</f>
        <v/>
      </c>
      <c r="E20" t="str">
        <f>IF(A20="","",IFERROR(VLOOKUP($B$3&amp;"|"&amp;TEXT(A20,"yyyy-mm-dd"),'Activity Daily Summary'!$A$4:$K$1254,6,FALSE),""))</f>
        <v/>
      </c>
      <c r="F20" t="str">
        <f>IF(A20="","",IFERROR(VLOOKUP($B$3&amp;"|"&amp;TEXT(A20,"yyyy-mm-dd"),'Activity Daily Summary'!$A$4:$K$1254,7,FALSE)&amp;IF(VLOOKUP($B$3&amp;"|"&amp;TEXT(A20,"yyyy-mm-dd"),'Activity Daily Summary'!$A$4:$K$1254,8,FALSE)="",""," — "&amp;VLOOKUP($B$3&amp;"|"&amp;TEXT(A20,"yyyy-mm-dd"),'Activity Daily Summary'!$A$4:$K$1254,8,FALSE)),""))</f>
        <v/>
      </c>
      <c r="G20" s="6">
        <f>IF(A20="","",IFERROR(VLOOKUP($B$3&amp;"|"&amp;TEXT(A20,"yyyy-mm-dd"),'Activity Daily Summary'!$A$4:$K$1254,9,FALSE),0))</f>
        <v>0</v>
      </c>
      <c r="H20" t="str">
        <f>IF(A20="","",IFERROR(VLOOKUP($B$3&amp;"|"&amp;TEXT(A20,"yyyy-mm-dd"),'Activity Daily Summary'!$A$4:$K$1254,11,FALSE),"No recorded activity"))</f>
        <v>No recorded activity</v>
      </c>
    </row>
    <row r="21" spans="1:8">
      <c r="A21" s="5">
        <f>IF(6&lt;=$H$3-$E$3,$E$3+6,"")</f>
        <v>46088</v>
      </c>
      <c r="B21" t="str">
        <f t="shared" si="0"/>
        <v>Sat</v>
      </c>
      <c r="C21" t="str">
        <f>IF(A21="","",IFERROR(VLOOKUP($B$3&amp;"|"&amp;TEXT(A21,"yyyy-mm-dd"),'Activity Daily Summary'!$A$4:$K$1254,10,FALSE),"No recorded activity"))</f>
        <v>No recorded activity</v>
      </c>
      <c r="D21" t="str">
        <f>IF(A21="","",IFERROR(VLOOKUP($B$3&amp;"|"&amp;TEXT(A21,"yyyy-mm-dd"),'Activity Daily Summary'!$A$4:$K$1254,5,FALSE),""))</f>
        <v/>
      </c>
      <c r="E21" t="str">
        <f>IF(A21="","",IFERROR(VLOOKUP($B$3&amp;"|"&amp;TEXT(A21,"yyyy-mm-dd"),'Activity Daily Summary'!$A$4:$K$1254,6,FALSE),""))</f>
        <v/>
      </c>
      <c r="F21" t="str">
        <f>IF(A21="","",IFERROR(VLOOKUP($B$3&amp;"|"&amp;TEXT(A21,"yyyy-mm-dd"),'Activity Daily Summary'!$A$4:$K$1254,7,FALSE)&amp;IF(VLOOKUP($B$3&amp;"|"&amp;TEXT(A21,"yyyy-mm-dd"),'Activity Daily Summary'!$A$4:$K$1254,8,FALSE)="",""," — "&amp;VLOOKUP($B$3&amp;"|"&amp;TEXT(A21,"yyyy-mm-dd"),'Activity Daily Summary'!$A$4:$K$1254,8,FALSE)),""))</f>
        <v/>
      </c>
      <c r="G21" s="6">
        <f>IF(A21="","",IFERROR(VLOOKUP($B$3&amp;"|"&amp;TEXT(A21,"yyyy-mm-dd"),'Activity Daily Summary'!$A$4:$K$1254,9,FALSE),0))</f>
        <v>0</v>
      </c>
      <c r="H21" t="str">
        <f>IF(A21="","",IFERROR(VLOOKUP($B$3&amp;"|"&amp;TEXT(A21,"yyyy-mm-dd"),'Activity Daily Summary'!$A$4:$K$1254,11,FALSE),"No recorded activity"))</f>
        <v>No recorded activity</v>
      </c>
    </row>
    <row r="22" spans="1:8">
      <c r="A22" s="5">
        <f>IF(7&lt;=$H$3-$E$3,$E$3+7,"")</f>
        <v>46089</v>
      </c>
      <c r="B22" t="str">
        <f t="shared" si="0"/>
        <v>Sun</v>
      </c>
      <c r="C22" t="str">
        <f>IF(A22="","",IFERROR(VLOOKUP($B$3&amp;"|"&amp;TEXT(A22,"yyyy-mm-dd"),'Activity Daily Summary'!$A$4:$K$1254,10,FALSE),"No recorded activity"))</f>
        <v>No recorded activity</v>
      </c>
      <c r="D22" t="str">
        <f>IF(A22="","",IFERROR(VLOOKUP($B$3&amp;"|"&amp;TEXT(A22,"yyyy-mm-dd"),'Activity Daily Summary'!$A$4:$K$1254,5,FALSE),""))</f>
        <v/>
      </c>
      <c r="E22" t="str">
        <f>IF(A22="","",IFERROR(VLOOKUP($B$3&amp;"|"&amp;TEXT(A22,"yyyy-mm-dd"),'Activity Daily Summary'!$A$4:$K$1254,6,FALSE),""))</f>
        <v/>
      </c>
      <c r="F22" t="str">
        <f>IF(A22="","",IFERROR(VLOOKUP($B$3&amp;"|"&amp;TEXT(A22,"yyyy-mm-dd"),'Activity Daily Summary'!$A$4:$K$1254,7,FALSE)&amp;IF(VLOOKUP($B$3&amp;"|"&amp;TEXT(A22,"yyyy-mm-dd"),'Activity Daily Summary'!$A$4:$K$1254,8,FALSE)="",""," — "&amp;VLOOKUP($B$3&amp;"|"&amp;TEXT(A22,"yyyy-mm-dd"),'Activity Daily Summary'!$A$4:$K$1254,8,FALSE)),""))</f>
        <v/>
      </c>
      <c r="G22" s="6">
        <f>IF(A22="","",IFERROR(VLOOKUP($B$3&amp;"|"&amp;TEXT(A22,"yyyy-mm-dd"),'Activity Daily Summary'!$A$4:$K$1254,9,FALSE),0))</f>
        <v>0</v>
      </c>
      <c r="H22" t="str">
        <f>IF(A22="","",IFERROR(VLOOKUP($B$3&amp;"|"&amp;TEXT(A22,"yyyy-mm-dd"),'Activity Daily Summary'!$A$4:$K$1254,11,FALSE),"No recorded activity"))</f>
        <v>No recorded activity</v>
      </c>
    </row>
    <row r="23" spans="1:8">
      <c r="A23" s="5">
        <f>IF(8&lt;=$H$3-$E$3,$E$3+8,"")</f>
        <v>46090</v>
      </c>
      <c r="B23" t="str">
        <f t="shared" si="0"/>
        <v>Mon</v>
      </c>
      <c r="C23" t="str">
        <f>IF(A23="","",IFERROR(VLOOKUP($B$3&amp;"|"&amp;TEXT(A23,"yyyy-mm-dd"),'Activity Daily Summary'!$A$4:$K$1254,10,FALSE),"No recorded activity"))</f>
        <v>No recorded activity</v>
      </c>
      <c r="D23" t="str">
        <f>IF(A23="","",IFERROR(VLOOKUP($B$3&amp;"|"&amp;TEXT(A23,"yyyy-mm-dd"),'Activity Daily Summary'!$A$4:$K$1254,5,FALSE),""))</f>
        <v/>
      </c>
      <c r="E23" t="str">
        <f>IF(A23="","",IFERROR(VLOOKUP($B$3&amp;"|"&amp;TEXT(A23,"yyyy-mm-dd"),'Activity Daily Summary'!$A$4:$K$1254,6,FALSE),""))</f>
        <v/>
      </c>
      <c r="F23" t="str">
        <f>IF(A23="","",IFERROR(VLOOKUP($B$3&amp;"|"&amp;TEXT(A23,"yyyy-mm-dd"),'Activity Daily Summary'!$A$4:$K$1254,7,FALSE)&amp;IF(VLOOKUP($B$3&amp;"|"&amp;TEXT(A23,"yyyy-mm-dd"),'Activity Daily Summary'!$A$4:$K$1254,8,FALSE)="",""," — "&amp;VLOOKUP($B$3&amp;"|"&amp;TEXT(A23,"yyyy-mm-dd"),'Activity Daily Summary'!$A$4:$K$1254,8,FALSE)),""))</f>
        <v/>
      </c>
      <c r="G23" s="6">
        <f>IF(A23="","",IFERROR(VLOOKUP($B$3&amp;"|"&amp;TEXT(A23,"yyyy-mm-dd"),'Activity Daily Summary'!$A$4:$K$1254,9,FALSE),0))</f>
        <v>0</v>
      </c>
      <c r="H23" t="str">
        <f>IF(A23="","",IFERROR(VLOOKUP($B$3&amp;"|"&amp;TEXT(A23,"yyyy-mm-dd"),'Activity Daily Summary'!$A$4:$K$1254,11,FALSE),"No recorded activity"))</f>
        <v>No recorded activity</v>
      </c>
    </row>
    <row r="24" spans="1:8">
      <c r="A24" s="5">
        <f>IF(9&lt;=$H$3-$E$3,$E$3+9,"")</f>
        <v>46091</v>
      </c>
      <c r="B24" t="str">
        <f t="shared" si="0"/>
        <v>Tue</v>
      </c>
      <c r="C24" t="str">
        <f>IF(A24="","",IFERROR(VLOOKUP($B$3&amp;"|"&amp;TEXT(A24,"yyyy-mm-dd"),'Activity Daily Summary'!$A$4:$K$1254,10,FALSE),"No recorded activity"))</f>
        <v>No recorded activity</v>
      </c>
      <c r="D24" t="str">
        <f>IF(A24="","",IFERROR(VLOOKUP($B$3&amp;"|"&amp;TEXT(A24,"yyyy-mm-dd"),'Activity Daily Summary'!$A$4:$K$1254,5,FALSE),""))</f>
        <v/>
      </c>
      <c r="E24" t="str">
        <f>IF(A24="","",IFERROR(VLOOKUP($B$3&amp;"|"&amp;TEXT(A24,"yyyy-mm-dd"),'Activity Daily Summary'!$A$4:$K$1254,6,FALSE),""))</f>
        <v/>
      </c>
      <c r="F24" t="str">
        <f>IF(A24="","",IFERROR(VLOOKUP($B$3&amp;"|"&amp;TEXT(A24,"yyyy-mm-dd"),'Activity Daily Summary'!$A$4:$K$1254,7,FALSE)&amp;IF(VLOOKUP($B$3&amp;"|"&amp;TEXT(A24,"yyyy-mm-dd"),'Activity Daily Summary'!$A$4:$K$1254,8,FALSE)="",""," — "&amp;VLOOKUP($B$3&amp;"|"&amp;TEXT(A24,"yyyy-mm-dd"),'Activity Daily Summary'!$A$4:$K$1254,8,FALSE)),""))</f>
        <v/>
      </c>
      <c r="G24" s="6">
        <f>IF(A24="","",IFERROR(VLOOKUP($B$3&amp;"|"&amp;TEXT(A24,"yyyy-mm-dd"),'Activity Daily Summary'!$A$4:$K$1254,9,FALSE),0))</f>
        <v>0</v>
      </c>
      <c r="H24" t="str">
        <f>IF(A24="","",IFERROR(VLOOKUP($B$3&amp;"|"&amp;TEXT(A24,"yyyy-mm-dd"),'Activity Daily Summary'!$A$4:$K$1254,11,FALSE),"No recorded activity"))</f>
        <v>No recorded activity</v>
      </c>
    </row>
    <row r="25" spans="1:8">
      <c r="A25" s="5">
        <f>IF(10&lt;=$H$3-$E$3,$E$3+10,"")</f>
        <v>46092</v>
      </c>
      <c r="B25" t="str">
        <f t="shared" si="0"/>
        <v>Wed</v>
      </c>
      <c r="C25" t="str">
        <f>IF(A25="","",IFERROR(VLOOKUP($B$3&amp;"|"&amp;TEXT(A25,"yyyy-mm-dd"),'Activity Daily Summary'!$A$4:$K$1254,10,FALSE),"No recorded activity"))</f>
        <v>No recorded activity</v>
      </c>
      <c r="D25" t="str">
        <f>IF(A25="","",IFERROR(VLOOKUP($B$3&amp;"|"&amp;TEXT(A25,"yyyy-mm-dd"),'Activity Daily Summary'!$A$4:$K$1254,5,FALSE),""))</f>
        <v/>
      </c>
      <c r="E25" t="str">
        <f>IF(A25="","",IFERROR(VLOOKUP($B$3&amp;"|"&amp;TEXT(A25,"yyyy-mm-dd"),'Activity Daily Summary'!$A$4:$K$1254,6,FALSE),""))</f>
        <v/>
      </c>
      <c r="F25" t="str">
        <f>IF(A25="","",IFERROR(VLOOKUP($B$3&amp;"|"&amp;TEXT(A25,"yyyy-mm-dd"),'Activity Daily Summary'!$A$4:$K$1254,7,FALSE)&amp;IF(VLOOKUP($B$3&amp;"|"&amp;TEXT(A25,"yyyy-mm-dd"),'Activity Daily Summary'!$A$4:$K$1254,8,FALSE)="",""," — "&amp;VLOOKUP($B$3&amp;"|"&amp;TEXT(A25,"yyyy-mm-dd"),'Activity Daily Summary'!$A$4:$K$1254,8,FALSE)),""))</f>
        <v/>
      </c>
      <c r="G25" s="6">
        <f>IF(A25="","",IFERROR(VLOOKUP($B$3&amp;"|"&amp;TEXT(A25,"yyyy-mm-dd"),'Activity Daily Summary'!$A$4:$K$1254,9,FALSE),0))</f>
        <v>0</v>
      </c>
      <c r="H25" t="str">
        <f>IF(A25="","",IFERROR(VLOOKUP($B$3&amp;"|"&amp;TEXT(A25,"yyyy-mm-dd"),'Activity Daily Summary'!$A$4:$K$1254,11,FALSE),"No recorded activity"))</f>
        <v>No recorded activity</v>
      </c>
    </row>
    <row r="26" spans="1:8">
      <c r="A26" s="5">
        <f>IF(11&lt;=$H$3-$E$3,$E$3+11,"")</f>
        <v>46093</v>
      </c>
      <c r="B26" t="str">
        <f t="shared" si="0"/>
        <v>Thu</v>
      </c>
      <c r="C26" t="str">
        <f>IF(A26="","",IFERROR(VLOOKUP($B$3&amp;"|"&amp;TEXT(A26,"yyyy-mm-dd"),'Activity Daily Summary'!$A$4:$K$1254,10,FALSE),"No recorded activity"))</f>
        <v>No recorded activity</v>
      </c>
      <c r="D26" t="str">
        <f>IF(A26="","",IFERROR(VLOOKUP($B$3&amp;"|"&amp;TEXT(A26,"yyyy-mm-dd"),'Activity Daily Summary'!$A$4:$K$1254,5,FALSE),""))</f>
        <v/>
      </c>
      <c r="E26" t="str">
        <f>IF(A26="","",IFERROR(VLOOKUP($B$3&amp;"|"&amp;TEXT(A26,"yyyy-mm-dd"),'Activity Daily Summary'!$A$4:$K$1254,6,FALSE),""))</f>
        <v/>
      </c>
      <c r="F26" t="str">
        <f>IF(A26="","",IFERROR(VLOOKUP($B$3&amp;"|"&amp;TEXT(A26,"yyyy-mm-dd"),'Activity Daily Summary'!$A$4:$K$1254,7,FALSE)&amp;IF(VLOOKUP($B$3&amp;"|"&amp;TEXT(A26,"yyyy-mm-dd"),'Activity Daily Summary'!$A$4:$K$1254,8,FALSE)="",""," — "&amp;VLOOKUP($B$3&amp;"|"&amp;TEXT(A26,"yyyy-mm-dd"),'Activity Daily Summary'!$A$4:$K$1254,8,FALSE)),""))</f>
        <v/>
      </c>
      <c r="G26" s="6">
        <f>IF(A26="","",IFERROR(VLOOKUP($B$3&amp;"|"&amp;TEXT(A26,"yyyy-mm-dd"),'Activity Daily Summary'!$A$4:$K$1254,9,FALSE),0))</f>
        <v>0</v>
      </c>
      <c r="H26" t="str">
        <f>IF(A26="","",IFERROR(VLOOKUP($B$3&amp;"|"&amp;TEXT(A26,"yyyy-mm-dd"),'Activity Daily Summary'!$A$4:$K$1254,11,FALSE),"No recorded activity"))</f>
        <v>No recorded activity</v>
      </c>
    </row>
    <row r="27" spans="1:8">
      <c r="A27" s="5">
        <f>IF(12&lt;=$H$3-$E$3,$E$3+12,"")</f>
        <v>46094</v>
      </c>
      <c r="B27" t="str">
        <f t="shared" si="0"/>
        <v>Fri</v>
      </c>
      <c r="C27" t="str">
        <f>IF(A27="","",IFERROR(VLOOKUP($B$3&amp;"|"&amp;TEXT(A27,"yyyy-mm-dd"),'Activity Daily Summary'!$A$4:$K$1254,10,FALSE),"No recorded activity"))</f>
        <v>No recorded activity</v>
      </c>
      <c r="D27" t="str">
        <f>IF(A27="","",IFERROR(VLOOKUP($B$3&amp;"|"&amp;TEXT(A27,"yyyy-mm-dd"),'Activity Daily Summary'!$A$4:$K$1254,5,FALSE),""))</f>
        <v/>
      </c>
      <c r="E27" t="str">
        <f>IF(A27="","",IFERROR(VLOOKUP($B$3&amp;"|"&amp;TEXT(A27,"yyyy-mm-dd"),'Activity Daily Summary'!$A$4:$K$1254,6,FALSE),""))</f>
        <v/>
      </c>
      <c r="F27" t="str">
        <f>IF(A27="","",IFERROR(VLOOKUP($B$3&amp;"|"&amp;TEXT(A27,"yyyy-mm-dd"),'Activity Daily Summary'!$A$4:$K$1254,7,FALSE)&amp;IF(VLOOKUP($B$3&amp;"|"&amp;TEXT(A27,"yyyy-mm-dd"),'Activity Daily Summary'!$A$4:$K$1254,8,FALSE)="",""," — "&amp;VLOOKUP($B$3&amp;"|"&amp;TEXT(A27,"yyyy-mm-dd"),'Activity Daily Summary'!$A$4:$K$1254,8,FALSE)),""))</f>
        <v/>
      </c>
      <c r="G27" s="6">
        <f>IF(A27="","",IFERROR(VLOOKUP($B$3&amp;"|"&amp;TEXT(A27,"yyyy-mm-dd"),'Activity Daily Summary'!$A$4:$K$1254,9,FALSE),0))</f>
        <v>0</v>
      </c>
      <c r="H27" t="str">
        <f>IF(A27="","",IFERROR(VLOOKUP($B$3&amp;"|"&amp;TEXT(A27,"yyyy-mm-dd"),'Activity Daily Summary'!$A$4:$K$1254,11,FALSE),"No recorded activity"))</f>
        <v>No recorded activity</v>
      </c>
    </row>
    <row r="28" spans="1:8">
      <c r="A28" s="5">
        <f>IF(13&lt;=$H$3-$E$3,$E$3+13,"")</f>
        <v>46095</v>
      </c>
      <c r="B28" t="str">
        <f t="shared" si="0"/>
        <v>Sat</v>
      </c>
      <c r="C28" t="str">
        <f>IF(A28="","",IFERROR(VLOOKUP($B$3&amp;"|"&amp;TEXT(A28,"yyyy-mm-dd"),'Activity Daily Summary'!$A$4:$K$1254,10,FALSE),"No recorded activity"))</f>
        <v>No recorded activity</v>
      </c>
      <c r="D28" t="str">
        <f>IF(A28="","",IFERROR(VLOOKUP($B$3&amp;"|"&amp;TEXT(A28,"yyyy-mm-dd"),'Activity Daily Summary'!$A$4:$K$1254,5,FALSE),""))</f>
        <v/>
      </c>
      <c r="E28" t="str">
        <f>IF(A28="","",IFERROR(VLOOKUP($B$3&amp;"|"&amp;TEXT(A28,"yyyy-mm-dd"),'Activity Daily Summary'!$A$4:$K$1254,6,FALSE),""))</f>
        <v/>
      </c>
      <c r="F28" t="str">
        <f>IF(A28="","",IFERROR(VLOOKUP($B$3&amp;"|"&amp;TEXT(A28,"yyyy-mm-dd"),'Activity Daily Summary'!$A$4:$K$1254,7,FALSE)&amp;IF(VLOOKUP($B$3&amp;"|"&amp;TEXT(A28,"yyyy-mm-dd"),'Activity Daily Summary'!$A$4:$K$1254,8,FALSE)="",""," — "&amp;VLOOKUP($B$3&amp;"|"&amp;TEXT(A28,"yyyy-mm-dd"),'Activity Daily Summary'!$A$4:$K$1254,8,FALSE)),""))</f>
        <v/>
      </c>
      <c r="G28" s="6">
        <f>IF(A28="","",IFERROR(VLOOKUP($B$3&amp;"|"&amp;TEXT(A28,"yyyy-mm-dd"),'Activity Daily Summary'!$A$4:$K$1254,9,FALSE),0))</f>
        <v>0</v>
      </c>
      <c r="H28" t="str">
        <f>IF(A28="","",IFERROR(VLOOKUP($B$3&amp;"|"&amp;TEXT(A28,"yyyy-mm-dd"),'Activity Daily Summary'!$A$4:$K$1254,11,FALSE),"No recorded activity"))</f>
        <v>No recorded activity</v>
      </c>
    </row>
    <row r="29" spans="1:8">
      <c r="A29" s="5">
        <f>IF(14&lt;=$H$3-$E$3,$E$3+14,"")</f>
        <v>46096</v>
      </c>
      <c r="B29" t="str">
        <f t="shared" si="0"/>
        <v>Sun</v>
      </c>
      <c r="C29" t="str">
        <f>IF(A29="","",IFERROR(VLOOKUP($B$3&amp;"|"&amp;TEXT(A29,"yyyy-mm-dd"),'Activity Daily Summary'!$A$4:$K$1254,10,FALSE),"No recorded activity"))</f>
        <v>No recorded activity</v>
      </c>
      <c r="D29" t="str">
        <f>IF(A29="","",IFERROR(VLOOKUP($B$3&amp;"|"&amp;TEXT(A29,"yyyy-mm-dd"),'Activity Daily Summary'!$A$4:$K$1254,5,FALSE),""))</f>
        <v/>
      </c>
      <c r="E29" t="str">
        <f>IF(A29="","",IFERROR(VLOOKUP($B$3&amp;"|"&amp;TEXT(A29,"yyyy-mm-dd"),'Activity Daily Summary'!$A$4:$K$1254,6,FALSE),""))</f>
        <v/>
      </c>
      <c r="F29" t="str">
        <f>IF(A29="","",IFERROR(VLOOKUP($B$3&amp;"|"&amp;TEXT(A29,"yyyy-mm-dd"),'Activity Daily Summary'!$A$4:$K$1254,7,FALSE)&amp;IF(VLOOKUP($B$3&amp;"|"&amp;TEXT(A29,"yyyy-mm-dd"),'Activity Daily Summary'!$A$4:$K$1254,8,FALSE)="",""," — "&amp;VLOOKUP($B$3&amp;"|"&amp;TEXT(A29,"yyyy-mm-dd"),'Activity Daily Summary'!$A$4:$K$1254,8,FALSE)),""))</f>
        <v/>
      </c>
      <c r="G29" s="6">
        <f>IF(A29="","",IFERROR(VLOOKUP($B$3&amp;"|"&amp;TEXT(A29,"yyyy-mm-dd"),'Activity Daily Summary'!$A$4:$K$1254,9,FALSE),0))</f>
        <v>0</v>
      </c>
      <c r="H29" t="str">
        <f>IF(A29="","",IFERROR(VLOOKUP($B$3&amp;"|"&amp;TEXT(A29,"yyyy-mm-dd"),'Activity Daily Summary'!$A$4:$K$1254,11,FALSE),"No recorded activity"))</f>
        <v>No recorded activity</v>
      </c>
    </row>
    <row r="30" spans="1:8">
      <c r="A30" s="5">
        <f>IF(15&lt;=$H$3-$E$3,$E$3+15,"")</f>
        <v>46097</v>
      </c>
      <c r="B30" t="str">
        <f t="shared" si="0"/>
        <v>Mon</v>
      </c>
      <c r="C30" t="str">
        <f>IF(A30="","",IFERROR(VLOOKUP($B$3&amp;"|"&amp;TEXT(A30,"yyyy-mm-dd"),'Activity Daily Summary'!$A$4:$K$1254,10,FALSE),"No recorded activity"))</f>
        <v>No recorded activity</v>
      </c>
      <c r="D30" t="str">
        <f>IF(A30="","",IFERROR(VLOOKUP($B$3&amp;"|"&amp;TEXT(A30,"yyyy-mm-dd"),'Activity Daily Summary'!$A$4:$K$1254,5,FALSE),""))</f>
        <v/>
      </c>
      <c r="E30" t="str">
        <f>IF(A30="","",IFERROR(VLOOKUP($B$3&amp;"|"&amp;TEXT(A30,"yyyy-mm-dd"),'Activity Daily Summary'!$A$4:$K$1254,6,FALSE),""))</f>
        <v/>
      </c>
      <c r="F30" t="str">
        <f>IF(A30="","",IFERROR(VLOOKUP($B$3&amp;"|"&amp;TEXT(A30,"yyyy-mm-dd"),'Activity Daily Summary'!$A$4:$K$1254,7,FALSE)&amp;IF(VLOOKUP($B$3&amp;"|"&amp;TEXT(A30,"yyyy-mm-dd"),'Activity Daily Summary'!$A$4:$K$1254,8,FALSE)="",""," — "&amp;VLOOKUP($B$3&amp;"|"&amp;TEXT(A30,"yyyy-mm-dd"),'Activity Daily Summary'!$A$4:$K$1254,8,FALSE)),""))</f>
        <v/>
      </c>
      <c r="G30" s="6">
        <f>IF(A30="","",IFERROR(VLOOKUP($B$3&amp;"|"&amp;TEXT(A30,"yyyy-mm-dd"),'Activity Daily Summary'!$A$4:$K$1254,9,FALSE),0))</f>
        <v>0</v>
      </c>
      <c r="H30" t="str">
        <f>IF(A30="","",IFERROR(VLOOKUP($B$3&amp;"|"&amp;TEXT(A30,"yyyy-mm-dd"),'Activity Daily Summary'!$A$4:$K$1254,11,FALSE),"No recorded activity"))</f>
        <v>No recorded activity</v>
      </c>
    </row>
    <row r="31" spans="1:8">
      <c r="A31" s="5">
        <f>IF(16&lt;=$H$3-$E$3,$E$3+16,"")</f>
        <v>46098</v>
      </c>
      <c r="B31" t="str">
        <f t="shared" si="0"/>
        <v>Tue</v>
      </c>
      <c r="C31" t="str">
        <f>IF(A31="","",IFERROR(VLOOKUP($B$3&amp;"|"&amp;TEXT(A31,"yyyy-mm-dd"),'Activity Daily Summary'!$A$4:$K$1254,10,FALSE),"No recorded activity"))</f>
        <v>No recorded activity</v>
      </c>
      <c r="D31" t="str">
        <f>IF(A31="","",IFERROR(VLOOKUP($B$3&amp;"|"&amp;TEXT(A31,"yyyy-mm-dd"),'Activity Daily Summary'!$A$4:$K$1254,5,FALSE),""))</f>
        <v/>
      </c>
      <c r="E31" t="str">
        <f>IF(A31="","",IFERROR(VLOOKUP($B$3&amp;"|"&amp;TEXT(A31,"yyyy-mm-dd"),'Activity Daily Summary'!$A$4:$K$1254,6,FALSE),""))</f>
        <v/>
      </c>
      <c r="F31" t="str">
        <f>IF(A31="","",IFERROR(VLOOKUP($B$3&amp;"|"&amp;TEXT(A31,"yyyy-mm-dd"),'Activity Daily Summary'!$A$4:$K$1254,7,FALSE)&amp;IF(VLOOKUP($B$3&amp;"|"&amp;TEXT(A31,"yyyy-mm-dd"),'Activity Daily Summary'!$A$4:$K$1254,8,FALSE)="",""," — "&amp;VLOOKUP($B$3&amp;"|"&amp;TEXT(A31,"yyyy-mm-dd"),'Activity Daily Summary'!$A$4:$K$1254,8,FALSE)),""))</f>
        <v/>
      </c>
      <c r="G31" s="6">
        <f>IF(A31="","",IFERROR(VLOOKUP($B$3&amp;"|"&amp;TEXT(A31,"yyyy-mm-dd"),'Activity Daily Summary'!$A$4:$K$1254,9,FALSE),0))</f>
        <v>0</v>
      </c>
      <c r="H31" t="str">
        <f>IF(A31="","",IFERROR(VLOOKUP($B$3&amp;"|"&amp;TEXT(A31,"yyyy-mm-dd"),'Activity Daily Summary'!$A$4:$K$1254,11,FALSE),"No recorded activity"))</f>
        <v>No recorded activity</v>
      </c>
    </row>
    <row r="32" spans="1:8">
      <c r="A32" s="5">
        <f>IF(17&lt;=$H$3-$E$3,$E$3+17,"")</f>
        <v>46099</v>
      </c>
      <c r="B32" t="str">
        <f t="shared" si="0"/>
        <v>Wed</v>
      </c>
      <c r="C32" t="str">
        <f>IF(A32="","",IFERROR(VLOOKUP($B$3&amp;"|"&amp;TEXT(A32,"yyyy-mm-dd"),'Activity Daily Summary'!$A$4:$K$1254,10,FALSE),"No recorded activity"))</f>
        <v>No recorded activity</v>
      </c>
      <c r="D32" t="str">
        <f>IF(A32="","",IFERROR(VLOOKUP($B$3&amp;"|"&amp;TEXT(A32,"yyyy-mm-dd"),'Activity Daily Summary'!$A$4:$K$1254,5,FALSE),""))</f>
        <v/>
      </c>
      <c r="E32" t="str">
        <f>IF(A32="","",IFERROR(VLOOKUP($B$3&amp;"|"&amp;TEXT(A32,"yyyy-mm-dd"),'Activity Daily Summary'!$A$4:$K$1254,6,FALSE),""))</f>
        <v/>
      </c>
      <c r="F32" t="str">
        <f>IF(A32="","",IFERROR(VLOOKUP($B$3&amp;"|"&amp;TEXT(A32,"yyyy-mm-dd"),'Activity Daily Summary'!$A$4:$K$1254,7,FALSE)&amp;IF(VLOOKUP($B$3&amp;"|"&amp;TEXT(A32,"yyyy-mm-dd"),'Activity Daily Summary'!$A$4:$K$1254,8,FALSE)="",""," — "&amp;VLOOKUP($B$3&amp;"|"&amp;TEXT(A32,"yyyy-mm-dd"),'Activity Daily Summary'!$A$4:$K$1254,8,FALSE)),""))</f>
        <v/>
      </c>
      <c r="G32" s="6">
        <f>IF(A32="","",IFERROR(VLOOKUP($B$3&amp;"|"&amp;TEXT(A32,"yyyy-mm-dd"),'Activity Daily Summary'!$A$4:$K$1254,9,FALSE),0))</f>
        <v>0</v>
      </c>
      <c r="H32" t="str">
        <f>IF(A32="","",IFERROR(VLOOKUP($B$3&amp;"|"&amp;TEXT(A32,"yyyy-mm-dd"),'Activity Daily Summary'!$A$4:$K$1254,11,FALSE),"No recorded activity"))</f>
        <v>No recorded activity</v>
      </c>
    </row>
    <row r="33" spans="1:8">
      <c r="A33" s="5">
        <f>IF(18&lt;=$H$3-$E$3,$E$3+18,"")</f>
        <v>46100</v>
      </c>
      <c r="B33" t="str">
        <f t="shared" si="0"/>
        <v>Thu</v>
      </c>
      <c r="C33" t="str">
        <f>IF(A33="","",IFERROR(VLOOKUP($B$3&amp;"|"&amp;TEXT(A33,"yyyy-mm-dd"),'Activity Daily Summary'!$A$4:$K$1254,10,FALSE),"No recorded activity"))</f>
        <v>No recorded activity</v>
      </c>
      <c r="D33" t="str">
        <f>IF(A33="","",IFERROR(VLOOKUP($B$3&amp;"|"&amp;TEXT(A33,"yyyy-mm-dd"),'Activity Daily Summary'!$A$4:$K$1254,5,FALSE),""))</f>
        <v/>
      </c>
      <c r="E33" t="str">
        <f>IF(A33="","",IFERROR(VLOOKUP($B$3&amp;"|"&amp;TEXT(A33,"yyyy-mm-dd"),'Activity Daily Summary'!$A$4:$K$1254,6,FALSE),""))</f>
        <v/>
      </c>
      <c r="F33" t="str">
        <f>IF(A33="","",IFERROR(VLOOKUP($B$3&amp;"|"&amp;TEXT(A33,"yyyy-mm-dd"),'Activity Daily Summary'!$A$4:$K$1254,7,FALSE)&amp;IF(VLOOKUP($B$3&amp;"|"&amp;TEXT(A33,"yyyy-mm-dd"),'Activity Daily Summary'!$A$4:$K$1254,8,FALSE)="",""," — "&amp;VLOOKUP($B$3&amp;"|"&amp;TEXT(A33,"yyyy-mm-dd"),'Activity Daily Summary'!$A$4:$K$1254,8,FALSE)),""))</f>
        <v/>
      </c>
      <c r="G33" s="6">
        <f>IF(A33="","",IFERROR(VLOOKUP($B$3&amp;"|"&amp;TEXT(A33,"yyyy-mm-dd"),'Activity Daily Summary'!$A$4:$K$1254,9,FALSE),0))</f>
        <v>0</v>
      </c>
      <c r="H33" t="str">
        <f>IF(A33="","",IFERROR(VLOOKUP($B$3&amp;"|"&amp;TEXT(A33,"yyyy-mm-dd"),'Activity Daily Summary'!$A$4:$K$1254,11,FALSE),"No recorded activity"))</f>
        <v>No recorded activity</v>
      </c>
    </row>
    <row r="34" spans="1:8">
      <c r="A34" s="5">
        <f>IF(19&lt;=$H$3-$E$3,$E$3+19,"")</f>
        <v>46101</v>
      </c>
      <c r="B34" t="str">
        <f t="shared" si="0"/>
        <v>Fri</v>
      </c>
      <c r="C34" t="str">
        <f>IF(A34="","",IFERROR(VLOOKUP($B$3&amp;"|"&amp;TEXT(A34,"yyyy-mm-dd"),'Activity Daily Summary'!$A$4:$K$1254,10,FALSE),"No recorded activity"))</f>
        <v>No recorded activity</v>
      </c>
      <c r="D34" t="str">
        <f>IF(A34="","",IFERROR(VLOOKUP($B$3&amp;"|"&amp;TEXT(A34,"yyyy-mm-dd"),'Activity Daily Summary'!$A$4:$K$1254,5,FALSE),""))</f>
        <v/>
      </c>
      <c r="E34" t="str">
        <f>IF(A34="","",IFERROR(VLOOKUP($B$3&amp;"|"&amp;TEXT(A34,"yyyy-mm-dd"),'Activity Daily Summary'!$A$4:$K$1254,6,FALSE),""))</f>
        <v/>
      </c>
      <c r="F34" t="str">
        <f>IF(A34="","",IFERROR(VLOOKUP($B$3&amp;"|"&amp;TEXT(A34,"yyyy-mm-dd"),'Activity Daily Summary'!$A$4:$K$1254,7,FALSE)&amp;IF(VLOOKUP($B$3&amp;"|"&amp;TEXT(A34,"yyyy-mm-dd"),'Activity Daily Summary'!$A$4:$K$1254,8,FALSE)="",""," — "&amp;VLOOKUP($B$3&amp;"|"&amp;TEXT(A34,"yyyy-mm-dd"),'Activity Daily Summary'!$A$4:$K$1254,8,FALSE)),""))</f>
        <v/>
      </c>
      <c r="G34" s="6">
        <f>IF(A34="","",IFERROR(VLOOKUP($B$3&amp;"|"&amp;TEXT(A34,"yyyy-mm-dd"),'Activity Daily Summary'!$A$4:$K$1254,9,FALSE),0))</f>
        <v>0</v>
      </c>
      <c r="H34" t="str">
        <f>IF(A34="","",IFERROR(VLOOKUP($B$3&amp;"|"&amp;TEXT(A34,"yyyy-mm-dd"),'Activity Daily Summary'!$A$4:$K$1254,11,FALSE),"No recorded activity"))</f>
        <v>No recorded activity</v>
      </c>
    </row>
    <row r="35" spans="1:8">
      <c r="A35" s="5">
        <f>IF(20&lt;=$H$3-$E$3,$E$3+20,"")</f>
        <v>46102</v>
      </c>
      <c r="B35" t="str">
        <f t="shared" si="0"/>
        <v>Sat</v>
      </c>
      <c r="C35" t="str">
        <f>IF(A35="","",IFERROR(VLOOKUP($B$3&amp;"|"&amp;TEXT(A35,"yyyy-mm-dd"),'Activity Daily Summary'!$A$4:$K$1254,10,FALSE),"No recorded activity"))</f>
        <v>No recorded activity</v>
      </c>
      <c r="D35" t="str">
        <f>IF(A35="","",IFERROR(VLOOKUP($B$3&amp;"|"&amp;TEXT(A35,"yyyy-mm-dd"),'Activity Daily Summary'!$A$4:$K$1254,5,FALSE),""))</f>
        <v/>
      </c>
      <c r="E35" t="str">
        <f>IF(A35="","",IFERROR(VLOOKUP($B$3&amp;"|"&amp;TEXT(A35,"yyyy-mm-dd"),'Activity Daily Summary'!$A$4:$K$1254,6,FALSE),""))</f>
        <v/>
      </c>
      <c r="F35" t="str">
        <f>IF(A35="","",IFERROR(VLOOKUP($B$3&amp;"|"&amp;TEXT(A35,"yyyy-mm-dd"),'Activity Daily Summary'!$A$4:$K$1254,7,FALSE)&amp;IF(VLOOKUP($B$3&amp;"|"&amp;TEXT(A35,"yyyy-mm-dd"),'Activity Daily Summary'!$A$4:$K$1254,8,FALSE)="",""," — "&amp;VLOOKUP($B$3&amp;"|"&amp;TEXT(A35,"yyyy-mm-dd"),'Activity Daily Summary'!$A$4:$K$1254,8,FALSE)),""))</f>
        <v/>
      </c>
      <c r="G35" s="6">
        <f>IF(A35="","",IFERROR(VLOOKUP($B$3&amp;"|"&amp;TEXT(A35,"yyyy-mm-dd"),'Activity Daily Summary'!$A$4:$K$1254,9,FALSE),0))</f>
        <v>0</v>
      </c>
      <c r="H35" t="str">
        <f>IF(A35="","",IFERROR(VLOOKUP($B$3&amp;"|"&amp;TEXT(A35,"yyyy-mm-dd"),'Activity Daily Summary'!$A$4:$K$1254,11,FALSE),"No recorded activity"))</f>
        <v>No recorded activity</v>
      </c>
    </row>
    <row r="36" spans="1:8">
      <c r="A36" s="5">
        <f>IF(21&lt;=$H$3-$E$3,$E$3+21,"")</f>
        <v>46103</v>
      </c>
      <c r="B36" t="str">
        <f t="shared" si="0"/>
        <v>Sun</v>
      </c>
      <c r="C36" t="str">
        <f>IF(A36="","",IFERROR(VLOOKUP($B$3&amp;"|"&amp;TEXT(A36,"yyyy-mm-dd"),'Activity Daily Summary'!$A$4:$K$1254,10,FALSE),"No recorded activity"))</f>
        <v>No recorded activity</v>
      </c>
      <c r="D36" t="str">
        <f>IF(A36="","",IFERROR(VLOOKUP($B$3&amp;"|"&amp;TEXT(A36,"yyyy-mm-dd"),'Activity Daily Summary'!$A$4:$K$1254,5,FALSE),""))</f>
        <v/>
      </c>
      <c r="E36" t="str">
        <f>IF(A36="","",IFERROR(VLOOKUP($B$3&amp;"|"&amp;TEXT(A36,"yyyy-mm-dd"),'Activity Daily Summary'!$A$4:$K$1254,6,FALSE),""))</f>
        <v/>
      </c>
      <c r="F36" t="str">
        <f>IF(A36="","",IFERROR(VLOOKUP($B$3&amp;"|"&amp;TEXT(A36,"yyyy-mm-dd"),'Activity Daily Summary'!$A$4:$K$1254,7,FALSE)&amp;IF(VLOOKUP($B$3&amp;"|"&amp;TEXT(A36,"yyyy-mm-dd"),'Activity Daily Summary'!$A$4:$K$1254,8,FALSE)="",""," — "&amp;VLOOKUP($B$3&amp;"|"&amp;TEXT(A36,"yyyy-mm-dd"),'Activity Daily Summary'!$A$4:$K$1254,8,FALSE)),""))</f>
        <v/>
      </c>
      <c r="G36" s="6">
        <f>IF(A36="","",IFERROR(VLOOKUP($B$3&amp;"|"&amp;TEXT(A36,"yyyy-mm-dd"),'Activity Daily Summary'!$A$4:$K$1254,9,FALSE),0))</f>
        <v>0</v>
      </c>
      <c r="H36" t="str">
        <f>IF(A36="","",IFERROR(VLOOKUP($B$3&amp;"|"&amp;TEXT(A36,"yyyy-mm-dd"),'Activity Daily Summary'!$A$4:$K$1254,11,FALSE),"No recorded activity"))</f>
        <v>No recorded activity</v>
      </c>
    </row>
    <row r="37" spans="1:8">
      <c r="A37" s="5">
        <f>IF(22&lt;=$H$3-$E$3,$E$3+22,"")</f>
        <v>46104</v>
      </c>
      <c r="B37" t="str">
        <f t="shared" si="0"/>
        <v>Mon</v>
      </c>
      <c r="C37" t="str">
        <f>IF(A37="","",IFERROR(VLOOKUP($B$3&amp;"|"&amp;TEXT(A37,"yyyy-mm-dd"),'Activity Daily Summary'!$A$4:$K$1254,10,FALSE),"No recorded activity"))</f>
        <v>No recorded activity</v>
      </c>
      <c r="D37" t="str">
        <f>IF(A37="","",IFERROR(VLOOKUP($B$3&amp;"|"&amp;TEXT(A37,"yyyy-mm-dd"),'Activity Daily Summary'!$A$4:$K$1254,5,FALSE),""))</f>
        <v/>
      </c>
      <c r="E37" t="str">
        <f>IF(A37="","",IFERROR(VLOOKUP($B$3&amp;"|"&amp;TEXT(A37,"yyyy-mm-dd"),'Activity Daily Summary'!$A$4:$K$1254,6,FALSE),""))</f>
        <v/>
      </c>
      <c r="F37" t="str">
        <f>IF(A37="","",IFERROR(VLOOKUP($B$3&amp;"|"&amp;TEXT(A37,"yyyy-mm-dd"),'Activity Daily Summary'!$A$4:$K$1254,7,FALSE)&amp;IF(VLOOKUP($B$3&amp;"|"&amp;TEXT(A37,"yyyy-mm-dd"),'Activity Daily Summary'!$A$4:$K$1254,8,FALSE)="",""," — "&amp;VLOOKUP($B$3&amp;"|"&amp;TEXT(A37,"yyyy-mm-dd"),'Activity Daily Summary'!$A$4:$K$1254,8,FALSE)),""))</f>
        <v/>
      </c>
      <c r="G37" s="6">
        <f>IF(A37="","",IFERROR(VLOOKUP($B$3&amp;"|"&amp;TEXT(A37,"yyyy-mm-dd"),'Activity Daily Summary'!$A$4:$K$1254,9,FALSE),0))</f>
        <v>0</v>
      </c>
      <c r="H37" t="str">
        <f>IF(A37="","",IFERROR(VLOOKUP($B$3&amp;"|"&amp;TEXT(A37,"yyyy-mm-dd"),'Activity Daily Summary'!$A$4:$K$1254,11,FALSE),"No recorded activity"))</f>
        <v>No recorded activity</v>
      </c>
    </row>
    <row r="38" spans="1:8">
      <c r="A38" s="5">
        <f>IF(23&lt;=$H$3-$E$3,$E$3+23,"")</f>
        <v>46105</v>
      </c>
      <c r="B38" t="str">
        <f t="shared" si="0"/>
        <v>Tue</v>
      </c>
      <c r="C38" t="str">
        <f>IF(A38="","",IFERROR(VLOOKUP($B$3&amp;"|"&amp;TEXT(A38,"yyyy-mm-dd"),'Activity Daily Summary'!$A$4:$K$1254,10,FALSE),"No recorded activity"))</f>
        <v>No recorded activity</v>
      </c>
      <c r="D38" t="str">
        <f>IF(A38="","",IFERROR(VLOOKUP($B$3&amp;"|"&amp;TEXT(A38,"yyyy-mm-dd"),'Activity Daily Summary'!$A$4:$K$1254,5,FALSE),""))</f>
        <v/>
      </c>
      <c r="E38" t="str">
        <f>IF(A38="","",IFERROR(VLOOKUP($B$3&amp;"|"&amp;TEXT(A38,"yyyy-mm-dd"),'Activity Daily Summary'!$A$4:$K$1254,6,FALSE),""))</f>
        <v/>
      </c>
      <c r="F38" t="str">
        <f>IF(A38="","",IFERROR(VLOOKUP($B$3&amp;"|"&amp;TEXT(A38,"yyyy-mm-dd"),'Activity Daily Summary'!$A$4:$K$1254,7,FALSE)&amp;IF(VLOOKUP($B$3&amp;"|"&amp;TEXT(A38,"yyyy-mm-dd"),'Activity Daily Summary'!$A$4:$K$1254,8,FALSE)="",""," — "&amp;VLOOKUP($B$3&amp;"|"&amp;TEXT(A38,"yyyy-mm-dd"),'Activity Daily Summary'!$A$4:$K$1254,8,FALSE)),""))</f>
        <v/>
      </c>
      <c r="G38" s="6">
        <f>IF(A38="","",IFERROR(VLOOKUP($B$3&amp;"|"&amp;TEXT(A38,"yyyy-mm-dd"),'Activity Daily Summary'!$A$4:$K$1254,9,FALSE),0))</f>
        <v>0</v>
      </c>
      <c r="H38" t="str">
        <f>IF(A38="","",IFERROR(VLOOKUP($B$3&amp;"|"&amp;TEXT(A38,"yyyy-mm-dd"),'Activity Daily Summary'!$A$4:$K$1254,11,FALSE),"No recorded activity"))</f>
        <v>No recorded activity</v>
      </c>
    </row>
    <row r="39" spans="1:8">
      <c r="A39" s="5">
        <f>IF(24&lt;=$H$3-$E$3,$E$3+24,"")</f>
        <v>46106</v>
      </c>
      <c r="B39" t="str">
        <f t="shared" si="0"/>
        <v>Wed</v>
      </c>
      <c r="C39" t="str">
        <f>IF(A39="","",IFERROR(VLOOKUP($B$3&amp;"|"&amp;TEXT(A39,"yyyy-mm-dd"),'Activity Daily Summary'!$A$4:$K$1254,10,FALSE),"No recorded activity"))</f>
        <v>No recorded activity</v>
      </c>
      <c r="D39" t="str">
        <f>IF(A39="","",IFERROR(VLOOKUP($B$3&amp;"|"&amp;TEXT(A39,"yyyy-mm-dd"),'Activity Daily Summary'!$A$4:$K$1254,5,FALSE),""))</f>
        <v/>
      </c>
      <c r="E39" t="str">
        <f>IF(A39="","",IFERROR(VLOOKUP($B$3&amp;"|"&amp;TEXT(A39,"yyyy-mm-dd"),'Activity Daily Summary'!$A$4:$K$1254,6,FALSE),""))</f>
        <v/>
      </c>
      <c r="F39" t="str">
        <f>IF(A39="","",IFERROR(VLOOKUP($B$3&amp;"|"&amp;TEXT(A39,"yyyy-mm-dd"),'Activity Daily Summary'!$A$4:$K$1254,7,FALSE)&amp;IF(VLOOKUP($B$3&amp;"|"&amp;TEXT(A39,"yyyy-mm-dd"),'Activity Daily Summary'!$A$4:$K$1254,8,FALSE)="",""," — "&amp;VLOOKUP($B$3&amp;"|"&amp;TEXT(A39,"yyyy-mm-dd"),'Activity Daily Summary'!$A$4:$K$1254,8,FALSE)),""))</f>
        <v/>
      </c>
      <c r="G39" s="6">
        <f>IF(A39="","",IFERROR(VLOOKUP($B$3&amp;"|"&amp;TEXT(A39,"yyyy-mm-dd"),'Activity Daily Summary'!$A$4:$K$1254,9,FALSE),0))</f>
        <v>0</v>
      </c>
      <c r="H39" t="str">
        <f>IF(A39="","",IFERROR(VLOOKUP($B$3&amp;"|"&amp;TEXT(A39,"yyyy-mm-dd"),'Activity Daily Summary'!$A$4:$K$1254,11,FALSE),"No recorded activity"))</f>
        <v>No recorded activity</v>
      </c>
    </row>
    <row r="40" spans="1:8">
      <c r="A40" s="5">
        <f>IF(25&lt;=$H$3-$E$3,$E$3+25,"")</f>
        <v>46107</v>
      </c>
      <c r="B40" t="str">
        <f t="shared" si="0"/>
        <v>Thu</v>
      </c>
      <c r="C40" t="str">
        <f>IF(A40="","",IFERROR(VLOOKUP($B$3&amp;"|"&amp;TEXT(A40,"yyyy-mm-dd"),'Activity Daily Summary'!$A$4:$K$1254,10,FALSE),"No recorded activity"))</f>
        <v>No recorded activity</v>
      </c>
      <c r="D40" t="str">
        <f>IF(A40="","",IFERROR(VLOOKUP($B$3&amp;"|"&amp;TEXT(A40,"yyyy-mm-dd"),'Activity Daily Summary'!$A$4:$K$1254,5,FALSE),""))</f>
        <v/>
      </c>
      <c r="E40" t="str">
        <f>IF(A40="","",IFERROR(VLOOKUP($B$3&amp;"|"&amp;TEXT(A40,"yyyy-mm-dd"),'Activity Daily Summary'!$A$4:$K$1254,6,FALSE),""))</f>
        <v/>
      </c>
      <c r="F40" t="str">
        <f>IF(A40="","",IFERROR(VLOOKUP($B$3&amp;"|"&amp;TEXT(A40,"yyyy-mm-dd"),'Activity Daily Summary'!$A$4:$K$1254,7,FALSE)&amp;IF(VLOOKUP($B$3&amp;"|"&amp;TEXT(A40,"yyyy-mm-dd"),'Activity Daily Summary'!$A$4:$K$1254,8,FALSE)="",""," — "&amp;VLOOKUP($B$3&amp;"|"&amp;TEXT(A40,"yyyy-mm-dd"),'Activity Daily Summary'!$A$4:$K$1254,8,FALSE)),""))</f>
        <v/>
      </c>
      <c r="G40" s="6">
        <f>IF(A40="","",IFERROR(VLOOKUP($B$3&amp;"|"&amp;TEXT(A40,"yyyy-mm-dd"),'Activity Daily Summary'!$A$4:$K$1254,9,FALSE),0))</f>
        <v>0</v>
      </c>
      <c r="H40" t="str">
        <f>IF(A40="","",IFERROR(VLOOKUP($B$3&amp;"|"&amp;TEXT(A40,"yyyy-mm-dd"),'Activity Daily Summary'!$A$4:$K$1254,11,FALSE),"No recorded activity"))</f>
        <v>No recorded activity</v>
      </c>
    </row>
    <row r="41" spans="1:8">
      <c r="A41" s="5">
        <f>IF(26&lt;=$H$3-$E$3,$E$3+26,"")</f>
        <v>46108</v>
      </c>
      <c r="B41" t="str">
        <f t="shared" si="0"/>
        <v>Fri</v>
      </c>
      <c r="C41" t="str">
        <f>IF(A41="","",IFERROR(VLOOKUP($B$3&amp;"|"&amp;TEXT(A41,"yyyy-mm-dd"),'Activity Daily Summary'!$A$4:$K$1254,10,FALSE),"No recorded activity"))</f>
        <v>No recorded activity</v>
      </c>
      <c r="D41" t="str">
        <f>IF(A41="","",IFERROR(VLOOKUP($B$3&amp;"|"&amp;TEXT(A41,"yyyy-mm-dd"),'Activity Daily Summary'!$A$4:$K$1254,5,FALSE),""))</f>
        <v/>
      </c>
      <c r="E41" t="str">
        <f>IF(A41="","",IFERROR(VLOOKUP($B$3&amp;"|"&amp;TEXT(A41,"yyyy-mm-dd"),'Activity Daily Summary'!$A$4:$K$1254,6,FALSE),""))</f>
        <v/>
      </c>
      <c r="F41" t="str">
        <f>IF(A41="","",IFERROR(VLOOKUP($B$3&amp;"|"&amp;TEXT(A41,"yyyy-mm-dd"),'Activity Daily Summary'!$A$4:$K$1254,7,FALSE)&amp;IF(VLOOKUP($B$3&amp;"|"&amp;TEXT(A41,"yyyy-mm-dd"),'Activity Daily Summary'!$A$4:$K$1254,8,FALSE)="",""," — "&amp;VLOOKUP($B$3&amp;"|"&amp;TEXT(A41,"yyyy-mm-dd"),'Activity Daily Summary'!$A$4:$K$1254,8,FALSE)),""))</f>
        <v/>
      </c>
      <c r="G41" s="6">
        <f>IF(A41="","",IFERROR(VLOOKUP($B$3&amp;"|"&amp;TEXT(A41,"yyyy-mm-dd"),'Activity Daily Summary'!$A$4:$K$1254,9,FALSE),0))</f>
        <v>0</v>
      </c>
      <c r="H41" t="str">
        <f>IF(A41="","",IFERROR(VLOOKUP($B$3&amp;"|"&amp;TEXT(A41,"yyyy-mm-dd"),'Activity Daily Summary'!$A$4:$K$1254,11,FALSE),"No recorded activity"))</f>
        <v>No recorded activity</v>
      </c>
    </row>
    <row r="42" spans="1:8">
      <c r="A42" s="5">
        <f>IF(27&lt;=$H$3-$E$3,$E$3+27,"")</f>
        <v>46109</v>
      </c>
      <c r="B42" t="str">
        <f t="shared" si="0"/>
        <v>Sat</v>
      </c>
      <c r="C42" t="str">
        <f>IF(A42="","",IFERROR(VLOOKUP($B$3&amp;"|"&amp;TEXT(A42,"yyyy-mm-dd"),'Activity Daily Summary'!$A$4:$K$1254,10,FALSE),"No recorded activity"))</f>
        <v>No recorded activity</v>
      </c>
      <c r="D42" t="str">
        <f>IF(A42="","",IFERROR(VLOOKUP($B$3&amp;"|"&amp;TEXT(A42,"yyyy-mm-dd"),'Activity Daily Summary'!$A$4:$K$1254,5,FALSE),""))</f>
        <v/>
      </c>
      <c r="E42" t="str">
        <f>IF(A42="","",IFERROR(VLOOKUP($B$3&amp;"|"&amp;TEXT(A42,"yyyy-mm-dd"),'Activity Daily Summary'!$A$4:$K$1254,6,FALSE),""))</f>
        <v/>
      </c>
      <c r="F42" t="str">
        <f>IF(A42="","",IFERROR(VLOOKUP($B$3&amp;"|"&amp;TEXT(A42,"yyyy-mm-dd"),'Activity Daily Summary'!$A$4:$K$1254,7,FALSE)&amp;IF(VLOOKUP($B$3&amp;"|"&amp;TEXT(A42,"yyyy-mm-dd"),'Activity Daily Summary'!$A$4:$K$1254,8,FALSE)="",""," — "&amp;VLOOKUP($B$3&amp;"|"&amp;TEXT(A42,"yyyy-mm-dd"),'Activity Daily Summary'!$A$4:$K$1254,8,FALSE)),""))</f>
        <v/>
      </c>
      <c r="G42" s="6">
        <f>IF(A42="","",IFERROR(VLOOKUP($B$3&amp;"|"&amp;TEXT(A42,"yyyy-mm-dd"),'Activity Daily Summary'!$A$4:$K$1254,9,FALSE),0))</f>
        <v>0</v>
      </c>
      <c r="H42" t="str">
        <f>IF(A42="","",IFERROR(VLOOKUP($B$3&amp;"|"&amp;TEXT(A42,"yyyy-mm-dd"),'Activity Daily Summary'!$A$4:$K$1254,11,FALSE),"No recorded activity"))</f>
        <v>No recorded activity</v>
      </c>
    </row>
    <row r="43" spans="1:8">
      <c r="A43" s="5">
        <f>IF(28&lt;=$H$3-$E$3,$E$3+28,"")</f>
        <v>46110</v>
      </c>
      <c r="B43" t="str">
        <f t="shared" si="0"/>
        <v>Sun</v>
      </c>
      <c r="C43" t="str">
        <f>IF(A43="","",IFERROR(VLOOKUP($B$3&amp;"|"&amp;TEXT(A43,"yyyy-mm-dd"),'Activity Daily Summary'!$A$4:$K$1254,10,FALSE),"No recorded activity"))</f>
        <v>No recorded activity</v>
      </c>
      <c r="D43" t="str">
        <f>IF(A43="","",IFERROR(VLOOKUP($B$3&amp;"|"&amp;TEXT(A43,"yyyy-mm-dd"),'Activity Daily Summary'!$A$4:$K$1254,5,FALSE),""))</f>
        <v/>
      </c>
      <c r="E43" t="str">
        <f>IF(A43="","",IFERROR(VLOOKUP($B$3&amp;"|"&amp;TEXT(A43,"yyyy-mm-dd"),'Activity Daily Summary'!$A$4:$K$1254,6,FALSE),""))</f>
        <v/>
      </c>
      <c r="F43" t="str">
        <f>IF(A43="","",IFERROR(VLOOKUP($B$3&amp;"|"&amp;TEXT(A43,"yyyy-mm-dd"),'Activity Daily Summary'!$A$4:$K$1254,7,FALSE)&amp;IF(VLOOKUP($B$3&amp;"|"&amp;TEXT(A43,"yyyy-mm-dd"),'Activity Daily Summary'!$A$4:$K$1254,8,FALSE)="",""," — "&amp;VLOOKUP($B$3&amp;"|"&amp;TEXT(A43,"yyyy-mm-dd"),'Activity Daily Summary'!$A$4:$K$1254,8,FALSE)),""))</f>
        <v/>
      </c>
      <c r="G43" s="6">
        <f>IF(A43="","",IFERROR(VLOOKUP($B$3&amp;"|"&amp;TEXT(A43,"yyyy-mm-dd"),'Activity Daily Summary'!$A$4:$K$1254,9,FALSE),0))</f>
        <v>0</v>
      </c>
      <c r="H43" t="str">
        <f>IF(A43="","",IFERROR(VLOOKUP($B$3&amp;"|"&amp;TEXT(A43,"yyyy-mm-dd"),'Activity Daily Summary'!$A$4:$K$1254,11,FALSE),"No recorded activity"))</f>
        <v>No recorded activity</v>
      </c>
    </row>
    <row r="44" spans="1:8">
      <c r="A44" s="5">
        <f>IF(29&lt;=$H$3-$E$3,$E$3+29,"")</f>
        <v>46111</v>
      </c>
      <c r="B44" t="str">
        <f t="shared" si="0"/>
        <v>Mon</v>
      </c>
      <c r="C44" t="str">
        <f>IF(A44="","",IFERROR(VLOOKUP($B$3&amp;"|"&amp;TEXT(A44,"yyyy-mm-dd"),'Activity Daily Summary'!$A$4:$K$1254,10,FALSE),"No recorded activity"))</f>
        <v>No recorded activity</v>
      </c>
      <c r="D44" t="str">
        <f>IF(A44="","",IFERROR(VLOOKUP($B$3&amp;"|"&amp;TEXT(A44,"yyyy-mm-dd"),'Activity Daily Summary'!$A$4:$K$1254,5,FALSE),""))</f>
        <v/>
      </c>
      <c r="E44" t="str">
        <f>IF(A44="","",IFERROR(VLOOKUP($B$3&amp;"|"&amp;TEXT(A44,"yyyy-mm-dd"),'Activity Daily Summary'!$A$4:$K$1254,6,FALSE),""))</f>
        <v/>
      </c>
      <c r="F44" t="str">
        <f>IF(A44="","",IFERROR(VLOOKUP($B$3&amp;"|"&amp;TEXT(A44,"yyyy-mm-dd"),'Activity Daily Summary'!$A$4:$K$1254,7,FALSE)&amp;IF(VLOOKUP($B$3&amp;"|"&amp;TEXT(A44,"yyyy-mm-dd"),'Activity Daily Summary'!$A$4:$K$1254,8,FALSE)="",""," — "&amp;VLOOKUP($B$3&amp;"|"&amp;TEXT(A44,"yyyy-mm-dd"),'Activity Daily Summary'!$A$4:$K$1254,8,FALSE)),""))</f>
        <v/>
      </c>
      <c r="G44" s="6">
        <f>IF(A44="","",IFERROR(VLOOKUP($B$3&amp;"|"&amp;TEXT(A44,"yyyy-mm-dd"),'Activity Daily Summary'!$A$4:$K$1254,9,FALSE),0))</f>
        <v>0</v>
      </c>
      <c r="H44" t="str">
        <f>IF(A44="","",IFERROR(VLOOKUP($B$3&amp;"|"&amp;TEXT(A44,"yyyy-mm-dd"),'Activity Daily Summary'!$A$4:$K$1254,11,FALSE),"No recorded activity"))</f>
        <v>No recorded activity</v>
      </c>
    </row>
    <row r="45" spans="1:8">
      <c r="A45" s="5">
        <f>IF(30&lt;=$H$3-$E$3,$E$3+30,"")</f>
        <v>46112</v>
      </c>
      <c r="B45" t="str">
        <f t="shared" si="0"/>
        <v>Tue</v>
      </c>
      <c r="C45" t="str">
        <f>IF(A45="","",IFERROR(VLOOKUP($B$3&amp;"|"&amp;TEXT(A45,"yyyy-mm-dd"),'Activity Daily Summary'!$A$4:$K$1254,10,FALSE),"No recorded activity"))</f>
        <v>No recorded activity</v>
      </c>
      <c r="D45" t="str">
        <f>IF(A45="","",IFERROR(VLOOKUP($B$3&amp;"|"&amp;TEXT(A45,"yyyy-mm-dd"),'Activity Daily Summary'!$A$4:$K$1254,5,FALSE),""))</f>
        <v/>
      </c>
      <c r="E45" t="str">
        <f>IF(A45="","",IFERROR(VLOOKUP($B$3&amp;"|"&amp;TEXT(A45,"yyyy-mm-dd"),'Activity Daily Summary'!$A$4:$K$1254,6,FALSE),""))</f>
        <v/>
      </c>
      <c r="F45" t="str">
        <f>IF(A45="","",IFERROR(VLOOKUP($B$3&amp;"|"&amp;TEXT(A45,"yyyy-mm-dd"),'Activity Daily Summary'!$A$4:$K$1254,7,FALSE)&amp;IF(VLOOKUP($B$3&amp;"|"&amp;TEXT(A45,"yyyy-mm-dd"),'Activity Daily Summary'!$A$4:$K$1254,8,FALSE)="",""," — "&amp;VLOOKUP($B$3&amp;"|"&amp;TEXT(A45,"yyyy-mm-dd"),'Activity Daily Summary'!$A$4:$K$1254,8,FALSE)),""))</f>
        <v/>
      </c>
      <c r="G45" s="6">
        <f>IF(A45="","",IFERROR(VLOOKUP($B$3&amp;"|"&amp;TEXT(A45,"yyyy-mm-dd"),'Activity Daily Summary'!$A$4:$K$1254,9,FALSE),0))</f>
        <v>0</v>
      </c>
      <c r="H45" t="str">
        <f>IF(A45="","",IFERROR(VLOOKUP($B$3&amp;"|"&amp;TEXT(A45,"yyyy-mm-dd"),'Activity Daily Summary'!$A$4:$K$1254,11,FALSE),"No recorded activity"))</f>
        <v>No recorded activity</v>
      </c>
    </row>
    <row r="46" spans="1:8">
      <c r="A46" s="5">
        <f>IF(31&lt;=$H$3-$E$3,$E$3+31,"")</f>
        <v>46113</v>
      </c>
      <c r="B46" t="str">
        <f t="shared" si="0"/>
        <v>Wed</v>
      </c>
      <c r="C46" t="str">
        <f>IF(A46="","",IFERROR(VLOOKUP($B$3&amp;"|"&amp;TEXT(A46,"yyyy-mm-dd"),'Activity Daily Summary'!$A$4:$K$1254,10,FALSE),"No recorded activity"))</f>
        <v>No recorded activity</v>
      </c>
      <c r="D46" t="str">
        <f>IF(A46="","",IFERROR(VLOOKUP($B$3&amp;"|"&amp;TEXT(A46,"yyyy-mm-dd"),'Activity Daily Summary'!$A$4:$K$1254,5,FALSE),""))</f>
        <v/>
      </c>
      <c r="E46" t="str">
        <f>IF(A46="","",IFERROR(VLOOKUP($B$3&amp;"|"&amp;TEXT(A46,"yyyy-mm-dd"),'Activity Daily Summary'!$A$4:$K$1254,6,FALSE),""))</f>
        <v/>
      </c>
      <c r="F46" t="str">
        <f>IF(A46="","",IFERROR(VLOOKUP($B$3&amp;"|"&amp;TEXT(A46,"yyyy-mm-dd"),'Activity Daily Summary'!$A$4:$K$1254,7,FALSE)&amp;IF(VLOOKUP($B$3&amp;"|"&amp;TEXT(A46,"yyyy-mm-dd"),'Activity Daily Summary'!$A$4:$K$1254,8,FALSE)="",""," — "&amp;VLOOKUP($B$3&amp;"|"&amp;TEXT(A46,"yyyy-mm-dd"),'Activity Daily Summary'!$A$4:$K$1254,8,FALSE)),""))</f>
        <v/>
      </c>
      <c r="G46" s="6">
        <f>IF(A46="","",IFERROR(VLOOKUP($B$3&amp;"|"&amp;TEXT(A46,"yyyy-mm-dd"),'Activity Daily Summary'!$A$4:$K$1254,9,FALSE),0))</f>
        <v>0</v>
      </c>
      <c r="H46" t="str">
        <f>IF(A46="","",IFERROR(VLOOKUP($B$3&amp;"|"&amp;TEXT(A46,"yyyy-mm-dd"),'Activity Daily Summary'!$A$4:$K$1254,11,FALSE),"No recorded activity"))</f>
        <v>No recorded activity</v>
      </c>
    </row>
    <row r="47" spans="1:8">
      <c r="A47" s="5">
        <f>IF(32&lt;=$H$3-$E$3,$E$3+32,"")</f>
        <v>46114</v>
      </c>
      <c r="B47" t="str">
        <f t="shared" si="0"/>
        <v>Thu</v>
      </c>
      <c r="C47" t="str">
        <f>IF(A47="","",IFERROR(VLOOKUP($B$3&amp;"|"&amp;TEXT(A47,"yyyy-mm-dd"),'Activity Daily Summary'!$A$4:$K$1254,10,FALSE),"No recorded activity"))</f>
        <v>No recorded activity</v>
      </c>
      <c r="D47" t="str">
        <f>IF(A47="","",IFERROR(VLOOKUP($B$3&amp;"|"&amp;TEXT(A47,"yyyy-mm-dd"),'Activity Daily Summary'!$A$4:$K$1254,5,FALSE),""))</f>
        <v/>
      </c>
      <c r="E47" t="str">
        <f>IF(A47="","",IFERROR(VLOOKUP($B$3&amp;"|"&amp;TEXT(A47,"yyyy-mm-dd"),'Activity Daily Summary'!$A$4:$K$1254,6,FALSE),""))</f>
        <v/>
      </c>
      <c r="F47" t="str">
        <f>IF(A47="","",IFERROR(VLOOKUP($B$3&amp;"|"&amp;TEXT(A47,"yyyy-mm-dd"),'Activity Daily Summary'!$A$4:$K$1254,7,FALSE)&amp;IF(VLOOKUP($B$3&amp;"|"&amp;TEXT(A47,"yyyy-mm-dd"),'Activity Daily Summary'!$A$4:$K$1254,8,FALSE)="",""," — "&amp;VLOOKUP($B$3&amp;"|"&amp;TEXT(A47,"yyyy-mm-dd"),'Activity Daily Summary'!$A$4:$K$1254,8,FALSE)),""))</f>
        <v/>
      </c>
      <c r="G47" s="6">
        <f>IF(A47="","",IFERROR(VLOOKUP($B$3&amp;"|"&amp;TEXT(A47,"yyyy-mm-dd"),'Activity Daily Summary'!$A$4:$K$1254,9,FALSE),0))</f>
        <v>0</v>
      </c>
      <c r="H47" t="str">
        <f>IF(A47="","",IFERROR(VLOOKUP($B$3&amp;"|"&amp;TEXT(A47,"yyyy-mm-dd"),'Activity Daily Summary'!$A$4:$K$1254,11,FALSE),"No recorded activity"))</f>
        <v>No recorded activity</v>
      </c>
    </row>
    <row r="48" spans="1:8">
      <c r="A48" s="5">
        <f>IF(33&lt;=$H$3-$E$3,$E$3+33,"")</f>
        <v>46115</v>
      </c>
      <c r="B48" t="str">
        <f t="shared" si="0"/>
        <v>Fri</v>
      </c>
      <c r="C48" t="str">
        <f>IF(A48="","",IFERROR(VLOOKUP($B$3&amp;"|"&amp;TEXT(A48,"yyyy-mm-dd"),'Activity Daily Summary'!$A$4:$K$1254,10,FALSE),"No recorded activity"))</f>
        <v>No recorded activity</v>
      </c>
      <c r="D48" t="str">
        <f>IF(A48="","",IFERROR(VLOOKUP($B$3&amp;"|"&amp;TEXT(A48,"yyyy-mm-dd"),'Activity Daily Summary'!$A$4:$K$1254,5,FALSE),""))</f>
        <v/>
      </c>
      <c r="E48" t="str">
        <f>IF(A48="","",IFERROR(VLOOKUP($B$3&amp;"|"&amp;TEXT(A48,"yyyy-mm-dd"),'Activity Daily Summary'!$A$4:$K$1254,6,FALSE),""))</f>
        <v/>
      </c>
      <c r="F48" t="str">
        <f>IF(A48="","",IFERROR(VLOOKUP($B$3&amp;"|"&amp;TEXT(A48,"yyyy-mm-dd"),'Activity Daily Summary'!$A$4:$K$1254,7,FALSE)&amp;IF(VLOOKUP($B$3&amp;"|"&amp;TEXT(A48,"yyyy-mm-dd"),'Activity Daily Summary'!$A$4:$K$1254,8,FALSE)="",""," — "&amp;VLOOKUP($B$3&amp;"|"&amp;TEXT(A48,"yyyy-mm-dd"),'Activity Daily Summary'!$A$4:$K$1254,8,FALSE)),""))</f>
        <v/>
      </c>
      <c r="G48" s="6">
        <f>IF(A48="","",IFERROR(VLOOKUP($B$3&amp;"|"&amp;TEXT(A48,"yyyy-mm-dd"),'Activity Daily Summary'!$A$4:$K$1254,9,FALSE),0))</f>
        <v>0</v>
      </c>
      <c r="H48" t="str">
        <f>IF(A48="","",IFERROR(VLOOKUP($B$3&amp;"|"&amp;TEXT(A48,"yyyy-mm-dd"),'Activity Daily Summary'!$A$4:$K$1254,11,FALSE),"No recorded activity"))</f>
        <v>No recorded activity</v>
      </c>
    </row>
    <row r="49" spans="1:8">
      <c r="A49" s="5">
        <f>IF(34&lt;=$H$3-$E$3,$E$3+34,"")</f>
        <v>46116</v>
      </c>
      <c r="B49" t="str">
        <f t="shared" si="0"/>
        <v>Sat</v>
      </c>
      <c r="C49" t="str">
        <f>IF(A49="","",IFERROR(VLOOKUP($B$3&amp;"|"&amp;TEXT(A49,"yyyy-mm-dd"),'Activity Daily Summary'!$A$4:$K$1254,10,FALSE),"No recorded activity"))</f>
        <v>No recorded activity</v>
      </c>
      <c r="D49" t="str">
        <f>IF(A49="","",IFERROR(VLOOKUP($B$3&amp;"|"&amp;TEXT(A49,"yyyy-mm-dd"),'Activity Daily Summary'!$A$4:$K$1254,5,FALSE),""))</f>
        <v/>
      </c>
      <c r="E49" t="str">
        <f>IF(A49="","",IFERROR(VLOOKUP($B$3&amp;"|"&amp;TEXT(A49,"yyyy-mm-dd"),'Activity Daily Summary'!$A$4:$K$1254,6,FALSE),""))</f>
        <v/>
      </c>
      <c r="F49" t="str">
        <f>IF(A49="","",IFERROR(VLOOKUP($B$3&amp;"|"&amp;TEXT(A49,"yyyy-mm-dd"),'Activity Daily Summary'!$A$4:$K$1254,7,FALSE)&amp;IF(VLOOKUP($B$3&amp;"|"&amp;TEXT(A49,"yyyy-mm-dd"),'Activity Daily Summary'!$A$4:$K$1254,8,FALSE)="",""," — "&amp;VLOOKUP($B$3&amp;"|"&amp;TEXT(A49,"yyyy-mm-dd"),'Activity Daily Summary'!$A$4:$K$1254,8,FALSE)),""))</f>
        <v/>
      </c>
      <c r="G49" s="6">
        <f>IF(A49="","",IFERROR(VLOOKUP($B$3&amp;"|"&amp;TEXT(A49,"yyyy-mm-dd"),'Activity Daily Summary'!$A$4:$K$1254,9,FALSE),0))</f>
        <v>0</v>
      </c>
      <c r="H49" t="str">
        <f>IF(A49="","",IFERROR(VLOOKUP($B$3&amp;"|"&amp;TEXT(A49,"yyyy-mm-dd"),'Activity Daily Summary'!$A$4:$K$1254,11,FALSE),"No recorded activity"))</f>
        <v>No recorded activity</v>
      </c>
    </row>
    <row r="50" spans="1:8">
      <c r="A50" s="5">
        <f>IF(35&lt;=$H$3-$E$3,$E$3+35,"")</f>
        <v>46117</v>
      </c>
      <c r="B50" t="str">
        <f t="shared" si="0"/>
        <v>Sun</v>
      </c>
      <c r="C50" t="str">
        <f>IF(A50="","",IFERROR(VLOOKUP($B$3&amp;"|"&amp;TEXT(A50,"yyyy-mm-dd"),'Activity Daily Summary'!$A$4:$K$1254,10,FALSE),"No recorded activity"))</f>
        <v>No recorded activity</v>
      </c>
      <c r="D50" t="str">
        <f>IF(A50="","",IFERROR(VLOOKUP($B$3&amp;"|"&amp;TEXT(A50,"yyyy-mm-dd"),'Activity Daily Summary'!$A$4:$K$1254,5,FALSE),""))</f>
        <v/>
      </c>
      <c r="E50" t="str">
        <f>IF(A50="","",IFERROR(VLOOKUP($B$3&amp;"|"&amp;TEXT(A50,"yyyy-mm-dd"),'Activity Daily Summary'!$A$4:$K$1254,6,FALSE),""))</f>
        <v/>
      </c>
      <c r="F50" t="str">
        <f>IF(A50="","",IFERROR(VLOOKUP($B$3&amp;"|"&amp;TEXT(A50,"yyyy-mm-dd"),'Activity Daily Summary'!$A$4:$K$1254,7,FALSE)&amp;IF(VLOOKUP($B$3&amp;"|"&amp;TEXT(A50,"yyyy-mm-dd"),'Activity Daily Summary'!$A$4:$K$1254,8,FALSE)="",""," — "&amp;VLOOKUP($B$3&amp;"|"&amp;TEXT(A50,"yyyy-mm-dd"),'Activity Daily Summary'!$A$4:$K$1254,8,FALSE)),""))</f>
        <v/>
      </c>
      <c r="G50" s="6">
        <f>IF(A50="","",IFERROR(VLOOKUP($B$3&amp;"|"&amp;TEXT(A50,"yyyy-mm-dd"),'Activity Daily Summary'!$A$4:$K$1254,9,FALSE),0))</f>
        <v>0</v>
      </c>
      <c r="H50" t="str">
        <f>IF(A50="","",IFERROR(VLOOKUP($B$3&amp;"|"&amp;TEXT(A50,"yyyy-mm-dd"),'Activity Daily Summary'!$A$4:$K$1254,11,FALSE),"No recorded activity"))</f>
        <v>No recorded activity</v>
      </c>
    </row>
    <row r="51" spans="1:8">
      <c r="A51" s="5">
        <f>IF(36&lt;=$H$3-$E$3,$E$3+36,"")</f>
        <v>46118</v>
      </c>
      <c r="B51" t="str">
        <f t="shared" si="0"/>
        <v>Mon</v>
      </c>
      <c r="C51" t="str">
        <f>IF(A51="","",IFERROR(VLOOKUP($B$3&amp;"|"&amp;TEXT(A51,"yyyy-mm-dd"),'Activity Daily Summary'!$A$4:$K$1254,10,FALSE),"No recorded activity"))</f>
        <v>No recorded activity</v>
      </c>
      <c r="D51" t="str">
        <f>IF(A51="","",IFERROR(VLOOKUP($B$3&amp;"|"&amp;TEXT(A51,"yyyy-mm-dd"),'Activity Daily Summary'!$A$4:$K$1254,5,FALSE),""))</f>
        <v/>
      </c>
      <c r="E51" t="str">
        <f>IF(A51="","",IFERROR(VLOOKUP($B$3&amp;"|"&amp;TEXT(A51,"yyyy-mm-dd"),'Activity Daily Summary'!$A$4:$K$1254,6,FALSE),""))</f>
        <v/>
      </c>
      <c r="F51" t="str">
        <f>IF(A51="","",IFERROR(VLOOKUP($B$3&amp;"|"&amp;TEXT(A51,"yyyy-mm-dd"),'Activity Daily Summary'!$A$4:$K$1254,7,FALSE)&amp;IF(VLOOKUP($B$3&amp;"|"&amp;TEXT(A51,"yyyy-mm-dd"),'Activity Daily Summary'!$A$4:$K$1254,8,FALSE)="",""," — "&amp;VLOOKUP($B$3&amp;"|"&amp;TEXT(A51,"yyyy-mm-dd"),'Activity Daily Summary'!$A$4:$K$1254,8,FALSE)),""))</f>
        <v/>
      </c>
      <c r="G51" s="6">
        <f>IF(A51="","",IFERROR(VLOOKUP($B$3&amp;"|"&amp;TEXT(A51,"yyyy-mm-dd"),'Activity Daily Summary'!$A$4:$K$1254,9,FALSE),0))</f>
        <v>0</v>
      </c>
      <c r="H51" t="str">
        <f>IF(A51="","",IFERROR(VLOOKUP($B$3&amp;"|"&amp;TEXT(A51,"yyyy-mm-dd"),'Activity Daily Summary'!$A$4:$K$1254,11,FALSE),"No recorded activity"))</f>
        <v>No recorded activity</v>
      </c>
    </row>
    <row r="52" spans="1:8">
      <c r="A52" s="5">
        <f>IF(37&lt;=$H$3-$E$3,$E$3+37,"")</f>
        <v>46119</v>
      </c>
      <c r="B52" t="str">
        <f t="shared" si="0"/>
        <v>Tue</v>
      </c>
      <c r="C52" t="str">
        <f>IF(A52="","",IFERROR(VLOOKUP($B$3&amp;"|"&amp;TEXT(A52,"yyyy-mm-dd"),'Activity Daily Summary'!$A$4:$K$1254,10,FALSE),"No recorded activity"))</f>
        <v>No recorded activity</v>
      </c>
      <c r="D52" t="str">
        <f>IF(A52="","",IFERROR(VLOOKUP($B$3&amp;"|"&amp;TEXT(A52,"yyyy-mm-dd"),'Activity Daily Summary'!$A$4:$K$1254,5,FALSE),""))</f>
        <v/>
      </c>
      <c r="E52" t="str">
        <f>IF(A52="","",IFERROR(VLOOKUP($B$3&amp;"|"&amp;TEXT(A52,"yyyy-mm-dd"),'Activity Daily Summary'!$A$4:$K$1254,6,FALSE),""))</f>
        <v/>
      </c>
      <c r="F52" t="str">
        <f>IF(A52="","",IFERROR(VLOOKUP($B$3&amp;"|"&amp;TEXT(A52,"yyyy-mm-dd"),'Activity Daily Summary'!$A$4:$K$1254,7,FALSE)&amp;IF(VLOOKUP($B$3&amp;"|"&amp;TEXT(A52,"yyyy-mm-dd"),'Activity Daily Summary'!$A$4:$K$1254,8,FALSE)="",""," — "&amp;VLOOKUP($B$3&amp;"|"&amp;TEXT(A52,"yyyy-mm-dd"),'Activity Daily Summary'!$A$4:$K$1254,8,FALSE)),""))</f>
        <v/>
      </c>
      <c r="G52" s="6">
        <f>IF(A52="","",IFERROR(VLOOKUP($B$3&amp;"|"&amp;TEXT(A52,"yyyy-mm-dd"),'Activity Daily Summary'!$A$4:$K$1254,9,FALSE),0))</f>
        <v>0</v>
      </c>
      <c r="H52" t="str">
        <f>IF(A52="","",IFERROR(VLOOKUP($B$3&amp;"|"&amp;TEXT(A52,"yyyy-mm-dd"),'Activity Daily Summary'!$A$4:$K$1254,11,FALSE),"No recorded activity"))</f>
        <v>No recorded activity</v>
      </c>
    </row>
    <row r="53" spans="1:8">
      <c r="A53" s="5">
        <f>IF(38&lt;=$H$3-$E$3,$E$3+38,"")</f>
        <v>46120</v>
      </c>
      <c r="B53" t="str">
        <f t="shared" si="0"/>
        <v>Wed</v>
      </c>
      <c r="C53" t="str">
        <f>IF(A53="","",IFERROR(VLOOKUP($B$3&amp;"|"&amp;TEXT(A53,"yyyy-mm-dd"),'Activity Daily Summary'!$A$4:$K$1254,10,FALSE),"No recorded activity"))</f>
        <v>No recorded activity</v>
      </c>
      <c r="D53" t="str">
        <f>IF(A53="","",IFERROR(VLOOKUP($B$3&amp;"|"&amp;TEXT(A53,"yyyy-mm-dd"),'Activity Daily Summary'!$A$4:$K$1254,5,FALSE),""))</f>
        <v/>
      </c>
      <c r="E53" t="str">
        <f>IF(A53="","",IFERROR(VLOOKUP($B$3&amp;"|"&amp;TEXT(A53,"yyyy-mm-dd"),'Activity Daily Summary'!$A$4:$K$1254,6,FALSE),""))</f>
        <v/>
      </c>
      <c r="F53" t="str">
        <f>IF(A53="","",IFERROR(VLOOKUP($B$3&amp;"|"&amp;TEXT(A53,"yyyy-mm-dd"),'Activity Daily Summary'!$A$4:$K$1254,7,FALSE)&amp;IF(VLOOKUP($B$3&amp;"|"&amp;TEXT(A53,"yyyy-mm-dd"),'Activity Daily Summary'!$A$4:$K$1254,8,FALSE)="",""," — "&amp;VLOOKUP($B$3&amp;"|"&amp;TEXT(A53,"yyyy-mm-dd"),'Activity Daily Summary'!$A$4:$K$1254,8,FALSE)),""))</f>
        <v/>
      </c>
      <c r="G53" s="6">
        <f>IF(A53="","",IFERROR(VLOOKUP($B$3&amp;"|"&amp;TEXT(A53,"yyyy-mm-dd"),'Activity Daily Summary'!$A$4:$K$1254,9,FALSE),0))</f>
        <v>0</v>
      </c>
      <c r="H53" t="str">
        <f>IF(A53="","",IFERROR(VLOOKUP($B$3&amp;"|"&amp;TEXT(A53,"yyyy-mm-dd"),'Activity Daily Summary'!$A$4:$K$1254,11,FALSE),"No recorded activity"))</f>
        <v>No recorded activity</v>
      </c>
    </row>
    <row r="54" spans="1:8">
      <c r="A54" s="5">
        <f>IF(39&lt;=$H$3-$E$3,$E$3+39,"")</f>
        <v>46121</v>
      </c>
      <c r="B54" t="str">
        <f t="shared" si="0"/>
        <v>Thu</v>
      </c>
      <c r="C54" t="str">
        <f>IF(A54="","",IFERROR(VLOOKUP($B$3&amp;"|"&amp;TEXT(A54,"yyyy-mm-dd"),'Activity Daily Summary'!$A$4:$K$1254,10,FALSE),"No recorded activity"))</f>
        <v>No recorded activity</v>
      </c>
      <c r="D54" t="str">
        <f>IF(A54="","",IFERROR(VLOOKUP($B$3&amp;"|"&amp;TEXT(A54,"yyyy-mm-dd"),'Activity Daily Summary'!$A$4:$K$1254,5,FALSE),""))</f>
        <v/>
      </c>
      <c r="E54" t="str">
        <f>IF(A54="","",IFERROR(VLOOKUP($B$3&amp;"|"&amp;TEXT(A54,"yyyy-mm-dd"),'Activity Daily Summary'!$A$4:$K$1254,6,FALSE),""))</f>
        <v/>
      </c>
      <c r="F54" t="str">
        <f>IF(A54="","",IFERROR(VLOOKUP($B$3&amp;"|"&amp;TEXT(A54,"yyyy-mm-dd"),'Activity Daily Summary'!$A$4:$K$1254,7,FALSE)&amp;IF(VLOOKUP($B$3&amp;"|"&amp;TEXT(A54,"yyyy-mm-dd"),'Activity Daily Summary'!$A$4:$K$1254,8,FALSE)="",""," — "&amp;VLOOKUP($B$3&amp;"|"&amp;TEXT(A54,"yyyy-mm-dd"),'Activity Daily Summary'!$A$4:$K$1254,8,FALSE)),""))</f>
        <v/>
      </c>
      <c r="G54" s="6">
        <f>IF(A54="","",IFERROR(VLOOKUP($B$3&amp;"|"&amp;TEXT(A54,"yyyy-mm-dd"),'Activity Daily Summary'!$A$4:$K$1254,9,FALSE),0))</f>
        <v>0</v>
      </c>
      <c r="H54" t="str">
        <f>IF(A54="","",IFERROR(VLOOKUP($B$3&amp;"|"&amp;TEXT(A54,"yyyy-mm-dd"),'Activity Daily Summary'!$A$4:$K$1254,11,FALSE),"No recorded activity"))</f>
        <v>No recorded activity</v>
      </c>
    </row>
    <row r="55" spans="1:8">
      <c r="A55" s="5">
        <f>IF(40&lt;=$H$3-$E$3,$E$3+40,"")</f>
        <v>46122</v>
      </c>
      <c r="B55" t="str">
        <f t="shared" si="0"/>
        <v>Fri</v>
      </c>
      <c r="C55" t="str">
        <f>IF(A55="","",IFERROR(VLOOKUP($B$3&amp;"|"&amp;TEXT(A55,"yyyy-mm-dd"),'Activity Daily Summary'!$A$4:$K$1254,10,FALSE),"No recorded activity"))</f>
        <v>No recorded activity</v>
      </c>
      <c r="D55" t="str">
        <f>IF(A55="","",IFERROR(VLOOKUP($B$3&amp;"|"&amp;TEXT(A55,"yyyy-mm-dd"),'Activity Daily Summary'!$A$4:$K$1254,5,FALSE),""))</f>
        <v/>
      </c>
      <c r="E55" t="str">
        <f>IF(A55="","",IFERROR(VLOOKUP($B$3&amp;"|"&amp;TEXT(A55,"yyyy-mm-dd"),'Activity Daily Summary'!$A$4:$K$1254,6,FALSE),""))</f>
        <v/>
      </c>
      <c r="F55" t="str">
        <f>IF(A55="","",IFERROR(VLOOKUP($B$3&amp;"|"&amp;TEXT(A55,"yyyy-mm-dd"),'Activity Daily Summary'!$A$4:$K$1254,7,FALSE)&amp;IF(VLOOKUP($B$3&amp;"|"&amp;TEXT(A55,"yyyy-mm-dd"),'Activity Daily Summary'!$A$4:$K$1254,8,FALSE)="",""," — "&amp;VLOOKUP($B$3&amp;"|"&amp;TEXT(A55,"yyyy-mm-dd"),'Activity Daily Summary'!$A$4:$K$1254,8,FALSE)),""))</f>
        <v/>
      </c>
      <c r="G55" s="6">
        <f>IF(A55="","",IFERROR(VLOOKUP($B$3&amp;"|"&amp;TEXT(A55,"yyyy-mm-dd"),'Activity Daily Summary'!$A$4:$K$1254,9,FALSE),0))</f>
        <v>0</v>
      </c>
      <c r="H55" t="str">
        <f>IF(A55="","",IFERROR(VLOOKUP($B$3&amp;"|"&amp;TEXT(A55,"yyyy-mm-dd"),'Activity Daily Summary'!$A$4:$K$1254,11,FALSE),"No recorded activity"))</f>
        <v>No recorded activity</v>
      </c>
    </row>
    <row r="56" spans="1:8">
      <c r="A56" s="5">
        <f>IF(41&lt;=$H$3-$E$3,$E$3+41,"")</f>
        <v>46123</v>
      </c>
      <c r="B56" t="str">
        <f t="shared" si="0"/>
        <v>Sat</v>
      </c>
      <c r="C56" t="str">
        <f>IF(A56="","",IFERROR(VLOOKUP($B$3&amp;"|"&amp;TEXT(A56,"yyyy-mm-dd"),'Activity Daily Summary'!$A$4:$K$1254,10,FALSE),"No recorded activity"))</f>
        <v>No recorded activity</v>
      </c>
      <c r="D56" t="str">
        <f>IF(A56="","",IFERROR(VLOOKUP($B$3&amp;"|"&amp;TEXT(A56,"yyyy-mm-dd"),'Activity Daily Summary'!$A$4:$K$1254,5,FALSE),""))</f>
        <v/>
      </c>
      <c r="E56" t="str">
        <f>IF(A56="","",IFERROR(VLOOKUP($B$3&amp;"|"&amp;TEXT(A56,"yyyy-mm-dd"),'Activity Daily Summary'!$A$4:$K$1254,6,FALSE),""))</f>
        <v/>
      </c>
      <c r="F56" t="str">
        <f>IF(A56="","",IFERROR(VLOOKUP($B$3&amp;"|"&amp;TEXT(A56,"yyyy-mm-dd"),'Activity Daily Summary'!$A$4:$K$1254,7,FALSE)&amp;IF(VLOOKUP($B$3&amp;"|"&amp;TEXT(A56,"yyyy-mm-dd"),'Activity Daily Summary'!$A$4:$K$1254,8,FALSE)="",""," — "&amp;VLOOKUP($B$3&amp;"|"&amp;TEXT(A56,"yyyy-mm-dd"),'Activity Daily Summary'!$A$4:$K$1254,8,FALSE)),""))</f>
        <v/>
      </c>
      <c r="G56" s="6">
        <f>IF(A56="","",IFERROR(VLOOKUP($B$3&amp;"|"&amp;TEXT(A56,"yyyy-mm-dd"),'Activity Daily Summary'!$A$4:$K$1254,9,FALSE),0))</f>
        <v>0</v>
      </c>
      <c r="H56" t="str">
        <f>IF(A56="","",IFERROR(VLOOKUP($B$3&amp;"|"&amp;TEXT(A56,"yyyy-mm-dd"),'Activity Daily Summary'!$A$4:$K$1254,11,FALSE),"No recorded activity"))</f>
        <v>No recorded activity</v>
      </c>
    </row>
  </sheetData>
  <mergeCells count="2">
    <mergeCell ref="A1:N1"/>
    <mergeCell ref="A13:H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Lists!$B$2:$B$146</xm:f>
          </x14:formula1>
          <xm:sqref>B3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6"/>
  <sheetViews>
    <sheetView workbookViewId="0"/>
  </sheetViews>
  <sheetFormatPr defaultRowHeight="14"/>
  <sheetData>
    <row r="1" spans="1:2" ht="28">
      <c r="A1" s="1" t="s">
        <v>2591</v>
      </c>
      <c r="B1" s="1" t="s">
        <v>2576</v>
      </c>
    </row>
    <row r="2" spans="1:2">
      <c r="A2" t="s">
        <v>11</v>
      </c>
      <c r="B2" t="s">
        <v>66</v>
      </c>
    </row>
    <row r="3" spans="1:2">
      <c r="A3" t="s">
        <v>9</v>
      </c>
      <c r="B3" t="s">
        <v>110</v>
      </c>
    </row>
    <row r="4" spans="1:2">
      <c r="A4" t="s">
        <v>15</v>
      </c>
      <c r="B4" t="s">
        <v>134</v>
      </c>
    </row>
    <row r="5" spans="1:2">
      <c r="A5" t="s">
        <v>17</v>
      </c>
      <c r="B5" t="s">
        <v>178</v>
      </c>
    </row>
    <row r="6" spans="1:2">
      <c r="A6" t="s">
        <v>24</v>
      </c>
      <c r="B6" t="s">
        <v>223</v>
      </c>
    </row>
    <row r="7" spans="1:2">
      <c r="A7" t="s">
        <v>26</v>
      </c>
      <c r="B7" t="s">
        <v>243</v>
      </c>
    </row>
    <row r="8" spans="1:2">
      <c r="A8" t="s">
        <v>28</v>
      </c>
      <c r="B8" t="s">
        <v>262</v>
      </c>
    </row>
    <row r="9" spans="1:2">
      <c r="A9" t="s">
        <v>29</v>
      </c>
      <c r="B9" t="s">
        <v>285</v>
      </c>
    </row>
    <row r="10" spans="1:2">
      <c r="A10" t="s">
        <v>30</v>
      </c>
      <c r="B10" t="s">
        <v>300</v>
      </c>
    </row>
    <row r="11" spans="1:2">
      <c r="A11" t="s">
        <v>40</v>
      </c>
      <c r="B11" t="s">
        <v>315</v>
      </c>
    </row>
    <row r="12" spans="1:2">
      <c r="B12" t="s">
        <v>345</v>
      </c>
    </row>
    <row r="13" spans="1:2">
      <c r="B13" t="s">
        <v>349</v>
      </c>
    </row>
    <row r="14" spans="1:2">
      <c r="B14" t="s">
        <v>377</v>
      </c>
    </row>
    <row r="15" spans="1:2">
      <c r="B15" t="s">
        <v>412</v>
      </c>
    </row>
    <row r="16" spans="1:2">
      <c r="B16" t="s">
        <v>438</v>
      </c>
    </row>
    <row r="17" spans="2:2">
      <c r="B17" t="s">
        <v>451</v>
      </c>
    </row>
    <row r="18" spans="2:2">
      <c r="B18" t="s">
        <v>488</v>
      </c>
    </row>
    <row r="19" spans="2:2">
      <c r="B19" t="s">
        <v>498</v>
      </c>
    </row>
    <row r="20" spans="2:2">
      <c r="B20" t="s">
        <v>520</v>
      </c>
    </row>
    <row r="21" spans="2:2">
      <c r="B21" t="s">
        <v>557</v>
      </c>
    </row>
    <row r="22" spans="2:2">
      <c r="B22" t="s">
        <v>562</v>
      </c>
    </row>
    <row r="23" spans="2:2">
      <c r="B23" t="s">
        <v>579</v>
      </c>
    </row>
    <row r="24" spans="2:2">
      <c r="B24" t="s">
        <v>600</v>
      </c>
    </row>
    <row r="25" spans="2:2">
      <c r="B25" t="s">
        <v>626</v>
      </c>
    </row>
    <row r="26" spans="2:2">
      <c r="B26" t="s">
        <v>647</v>
      </c>
    </row>
    <row r="27" spans="2:2">
      <c r="B27" t="s">
        <v>678</v>
      </c>
    </row>
    <row r="28" spans="2:2">
      <c r="B28" t="s">
        <v>686</v>
      </c>
    </row>
    <row r="29" spans="2:2">
      <c r="B29" t="s">
        <v>699</v>
      </c>
    </row>
    <row r="30" spans="2:2">
      <c r="B30" t="s">
        <v>722</v>
      </c>
    </row>
    <row r="31" spans="2:2">
      <c r="B31" t="s">
        <v>736</v>
      </c>
    </row>
    <row r="32" spans="2:2">
      <c r="B32" t="s">
        <v>762</v>
      </c>
    </row>
    <row r="33" spans="2:2">
      <c r="B33" t="s">
        <v>783</v>
      </c>
    </row>
    <row r="34" spans="2:2">
      <c r="B34" t="s">
        <v>811</v>
      </c>
    </row>
    <row r="35" spans="2:2">
      <c r="B35" t="s">
        <v>836</v>
      </c>
    </row>
    <row r="36" spans="2:2">
      <c r="B36" t="s">
        <v>850</v>
      </c>
    </row>
    <row r="37" spans="2:2">
      <c r="B37" t="s">
        <v>868</v>
      </c>
    </row>
    <row r="38" spans="2:2">
      <c r="B38" t="s">
        <v>889</v>
      </c>
    </row>
    <row r="39" spans="2:2">
      <c r="B39" t="s">
        <v>910</v>
      </c>
    </row>
    <row r="40" spans="2:2">
      <c r="B40" t="s">
        <v>921</v>
      </c>
    </row>
    <row r="41" spans="2:2">
      <c r="B41" t="s">
        <v>925</v>
      </c>
    </row>
    <row r="42" spans="2:2">
      <c r="B42" t="s">
        <v>939</v>
      </c>
    </row>
    <row r="43" spans="2:2">
      <c r="B43" t="s">
        <v>975</v>
      </c>
    </row>
    <row r="44" spans="2:2">
      <c r="B44" t="s">
        <v>999</v>
      </c>
    </row>
    <row r="45" spans="2:2">
      <c r="B45" t="s">
        <v>1017</v>
      </c>
    </row>
    <row r="46" spans="2:2">
      <c r="B46" t="s">
        <v>1031</v>
      </c>
    </row>
    <row r="47" spans="2:2">
      <c r="B47" t="s">
        <v>1049</v>
      </c>
    </row>
    <row r="48" spans="2:2">
      <c r="B48" t="s">
        <v>1056</v>
      </c>
    </row>
    <row r="49" spans="2:2">
      <c r="B49" t="s">
        <v>1071</v>
      </c>
    </row>
    <row r="50" spans="2:2">
      <c r="B50" t="s">
        <v>1084</v>
      </c>
    </row>
    <row r="51" spans="2:2">
      <c r="B51" t="s">
        <v>1097</v>
      </c>
    </row>
    <row r="52" spans="2:2">
      <c r="B52" t="s">
        <v>1112</v>
      </c>
    </row>
    <row r="53" spans="2:2">
      <c r="B53" t="s">
        <v>1146</v>
      </c>
    </row>
    <row r="54" spans="2:2">
      <c r="B54" t="s">
        <v>1154</v>
      </c>
    </row>
    <row r="55" spans="2:2">
      <c r="B55" t="s">
        <v>1173</v>
      </c>
    </row>
    <row r="56" spans="2:2">
      <c r="B56" t="s">
        <v>1196</v>
      </c>
    </row>
    <row r="57" spans="2:2">
      <c r="B57" t="s">
        <v>1209</v>
      </c>
    </row>
    <row r="58" spans="2:2">
      <c r="B58" t="s">
        <v>1236</v>
      </c>
    </row>
    <row r="59" spans="2:2">
      <c r="B59" t="s">
        <v>1249</v>
      </c>
    </row>
    <row r="60" spans="2:2">
      <c r="B60" t="s">
        <v>1262</v>
      </c>
    </row>
    <row r="61" spans="2:2">
      <c r="B61" t="s">
        <v>1277</v>
      </c>
    </row>
    <row r="62" spans="2:2">
      <c r="B62" t="s">
        <v>1301</v>
      </c>
    </row>
    <row r="63" spans="2:2">
      <c r="B63" t="s">
        <v>1315</v>
      </c>
    </row>
    <row r="64" spans="2:2">
      <c r="B64" t="s">
        <v>1328</v>
      </c>
    </row>
    <row r="65" spans="2:2">
      <c r="B65" t="s">
        <v>1342</v>
      </c>
    </row>
    <row r="66" spans="2:2">
      <c r="B66" t="s">
        <v>1353</v>
      </c>
    </row>
    <row r="67" spans="2:2">
      <c r="B67" t="s">
        <v>1372</v>
      </c>
    </row>
    <row r="68" spans="2:2">
      <c r="B68" t="s">
        <v>1387</v>
      </c>
    </row>
    <row r="69" spans="2:2">
      <c r="B69" t="s">
        <v>1392</v>
      </c>
    </row>
    <row r="70" spans="2:2">
      <c r="B70" t="s">
        <v>1411</v>
      </c>
    </row>
    <row r="71" spans="2:2">
      <c r="B71" t="s">
        <v>1426</v>
      </c>
    </row>
    <row r="72" spans="2:2">
      <c r="B72" t="s">
        <v>1441</v>
      </c>
    </row>
    <row r="73" spans="2:2">
      <c r="B73" t="s">
        <v>1455</v>
      </c>
    </row>
    <row r="74" spans="2:2">
      <c r="B74" t="s">
        <v>1470</v>
      </c>
    </row>
    <row r="75" spans="2:2">
      <c r="B75" t="s">
        <v>1486</v>
      </c>
    </row>
    <row r="76" spans="2:2">
      <c r="B76" t="s">
        <v>1502</v>
      </c>
    </row>
    <row r="77" spans="2:2">
      <c r="B77" t="s">
        <v>1515</v>
      </c>
    </row>
    <row r="78" spans="2:2">
      <c r="B78" t="s">
        <v>1520</v>
      </c>
    </row>
    <row r="79" spans="2:2">
      <c r="B79" t="s">
        <v>1544</v>
      </c>
    </row>
    <row r="80" spans="2:2">
      <c r="B80" t="s">
        <v>1558</v>
      </c>
    </row>
    <row r="81" spans="2:2">
      <c r="B81" t="s">
        <v>1574</v>
      </c>
    </row>
    <row r="82" spans="2:2">
      <c r="B82" t="s">
        <v>1586</v>
      </c>
    </row>
    <row r="83" spans="2:2">
      <c r="B83" t="s">
        <v>1602</v>
      </c>
    </row>
    <row r="84" spans="2:2">
      <c r="B84" t="s">
        <v>1622</v>
      </c>
    </row>
    <row r="85" spans="2:2">
      <c r="B85" t="s">
        <v>1625</v>
      </c>
    </row>
    <row r="86" spans="2:2">
      <c r="B86" t="s">
        <v>1636</v>
      </c>
    </row>
    <row r="87" spans="2:2">
      <c r="B87" t="s">
        <v>1655</v>
      </c>
    </row>
    <row r="88" spans="2:2">
      <c r="B88" t="s">
        <v>1662</v>
      </c>
    </row>
    <row r="89" spans="2:2">
      <c r="B89" t="s">
        <v>1676</v>
      </c>
    </row>
    <row r="90" spans="2:2">
      <c r="B90" t="s">
        <v>1691</v>
      </c>
    </row>
    <row r="91" spans="2:2">
      <c r="B91" t="s">
        <v>1699</v>
      </c>
    </row>
    <row r="92" spans="2:2">
      <c r="B92" t="s">
        <v>1718</v>
      </c>
    </row>
    <row r="93" spans="2:2">
      <c r="B93" t="s">
        <v>1742</v>
      </c>
    </row>
    <row r="94" spans="2:2">
      <c r="B94" t="s">
        <v>1760</v>
      </c>
    </row>
    <row r="95" spans="2:2">
      <c r="B95" t="s">
        <v>1774</v>
      </c>
    </row>
    <row r="96" spans="2:2">
      <c r="B96" t="s">
        <v>1782</v>
      </c>
    </row>
    <row r="97" spans="2:2">
      <c r="B97" t="s">
        <v>1787</v>
      </c>
    </row>
    <row r="98" spans="2:2">
      <c r="B98" t="s">
        <v>1793</v>
      </c>
    </row>
    <row r="99" spans="2:2">
      <c r="B99" t="s">
        <v>1815</v>
      </c>
    </row>
    <row r="100" spans="2:2">
      <c r="B100" t="s">
        <v>1835</v>
      </c>
    </row>
    <row r="101" spans="2:2">
      <c r="B101" t="s">
        <v>1860</v>
      </c>
    </row>
    <row r="102" spans="2:2">
      <c r="B102" t="s">
        <v>1882</v>
      </c>
    </row>
    <row r="103" spans="2:2">
      <c r="B103" t="s">
        <v>1902</v>
      </c>
    </row>
    <row r="104" spans="2:2">
      <c r="B104" t="s">
        <v>1924</v>
      </c>
    </row>
    <row r="105" spans="2:2">
      <c r="B105" t="s">
        <v>1947</v>
      </c>
    </row>
    <row r="106" spans="2:2">
      <c r="B106" t="s">
        <v>1964</v>
      </c>
    </row>
    <row r="107" spans="2:2">
      <c r="B107" t="s">
        <v>1974</v>
      </c>
    </row>
    <row r="108" spans="2:2">
      <c r="B108" t="s">
        <v>1990</v>
      </c>
    </row>
    <row r="109" spans="2:2">
      <c r="B109" t="s">
        <v>1997</v>
      </c>
    </row>
    <row r="110" spans="2:2">
      <c r="B110" t="s">
        <v>2015</v>
      </c>
    </row>
    <row r="111" spans="2:2">
      <c r="B111" t="s">
        <v>2019</v>
      </c>
    </row>
    <row r="112" spans="2:2">
      <c r="B112" t="s">
        <v>2040</v>
      </c>
    </row>
    <row r="113" spans="2:2">
      <c r="B113" t="s">
        <v>2070</v>
      </c>
    </row>
    <row r="114" spans="2:2">
      <c r="B114" t="s">
        <v>2086</v>
      </c>
    </row>
    <row r="115" spans="2:2">
      <c r="B115" t="s">
        <v>2097</v>
      </c>
    </row>
    <row r="116" spans="2:2">
      <c r="B116" t="s">
        <v>2110</v>
      </c>
    </row>
    <row r="117" spans="2:2">
      <c r="B117" t="s">
        <v>2123</v>
      </c>
    </row>
    <row r="118" spans="2:2">
      <c r="B118" t="s">
        <v>2143</v>
      </c>
    </row>
    <row r="119" spans="2:2">
      <c r="B119" t="s">
        <v>2152</v>
      </c>
    </row>
    <row r="120" spans="2:2">
      <c r="B120" t="s">
        <v>2157</v>
      </c>
    </row>
    <row r="121" spans="2:2">
      <c r="B121" t="s">
        <v>2163</v>
      </c>
    </row>
    <row r="122" spans="2:2">
      <c r="B122" t="s">
        <v>2180</v>
      </c>
    </row>
    <row r="123" spans="2:2">
      <c r="B123" t="s">
        <v>2207</v>
      </c>
    </row>
    <row r="124" spans="2:2">
      <c r="B124" t="s">
        <v>2226</v>
      </c>
    </row>
    <row r="125" spans="2:2">
      <c r="B125" t="s">
        <v>2240</v>
      </c>
    </row>
    <row r="126" spans="2:2">
      <c r="B126" t="s">
        <v>2268</v>
      </c>
    </row>
    <row r="127" spans="2:2">
      <c r="B127" t="s">
        <v>2290</v>
      </c>
    </row>
    <row r="128" spans="2:2">
      <c r="B128" t="s">
        <v>2301</v>
      </c>
    </row>
    <row r="129" spans="2:2">
      <c r="B129" t="s">
        <v>2319</v>
      </c>
    </row>
    <row r="130" spans="2:2">
      <c r="B130" t="s">
        <v>2340</v>
      </c>
    </row>
    <row r="131" spans="2:2">
      <c r="B131" t="s">
        <v>2348</v>
      </c>
    </row>
    <row r="132" spans="2:2">
      <c r="B132" t="s">
        <v>2364</v>
      </c>
    </row>
    <row r="133" spans="2:2">
      <c r="B133" t="s">
        <v>2375</v>
      </c>
    </row>
    <row r="134" spans="2:2">
      <c r="B134" t="s">
        <v>2380</v>
      </c>
    </row>
    <row r="135" spans="2:2">
      <c r="B135" t="s">
        <v>2400</v>
      </c>
    </row>
    <row r="136" spans="2:2">
      <c r="B136" t="s">
        <v>2409</v>
      </c>
    </row>
    <row r="137" spans="2:2">
      <c r="B137" t="s">
        <v>2416</v>
      </c>
    </row>
    <row r="138" spans="2:2">
      <c r="B138" t="s">
        <v>2430</v>
      </c>
    </row>
    <row r="139" spans="2:2">
      <c r="B139" t="s">
        <v>2451</v>
      </c>
    </row>
    <row r="140" spans="2:2">
      <c r="B140" t="s">
        <v>2466</v>
      </c>
    </row>
    <row r="141" spans="2:2">
      <c r="B141" t="s">
        <v>2484</v>
      </c>
    </row>
    <row r="142" spans="2:2">
      <c r="B142" t="s">
        <v>2506</v>
      </c>
    </row>
    <row r="143" spans="2:2">
      <c r="B143" t="s">
        <v>2515</v>
      </c>
    </row>
    <row r="144" spans="2:2">
      <c r="B144" t="s">
        <v>2530</v>
      </c>
    </row>
    <row r="145" spans="2:2">
      <c r="B145" t="s">
        <v>2542</v>
      </c>
    </row>
    <row r="146" spans="2:2">
      <c r="B146" t="s">
        <v>2557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defaultRowHeight="14"/>
  <sheetData>
    <row r="1" spans="1:6" ht="20">
      <c r="A1" s="8" t="s">
        <v>2592</v>
      </c>
      <c r="B1" s="8"/>
      <c r="C1" s="8"/>
      <c r="D1" s="8"/>
      <c r="E1" s="8"/>
      <c r="F1" s="8"/>
    </row>
    <row r="3" spans="1:6">
      <c r="A3" s="1" t="s">
        <v>2593</v>
      </c>
      <c r="B3" s="1" t="s">
        <v>2594</v>
      </c>
    </row>
    <row r="4" spans="1:6">
      <c r="A4">
        <v>1</v>
      </c>
      <c r="B4" t="s">
        <v>2595</v>
      </c>
    </row>
    <row r="5" spans="1:6">
      <c r="A5">
        <v>2</v>
      </c>
      <c r="B5" t="s">
        <v>2596</v>
      </c>
    </row>
    <row r="6" spans="1:6">
      <c r="A6">
        <v>3</v>
      </c>
      <c r="B6" t="s">
        <v>2597</v>
      </c>
    </row>
    <row r="7" spans="1:6">
      <c r="A7">
        <v>4</v>
      </c>
      <c r="B7" t="s">
        <v>2598</v>
      </c>
    </row>
    <row r="8" spans="1:6">
      <c r="A8">
        <v>5</v>
      </c>
      <c r="B8" t="s">
        <v>2599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Dashboard</vt:lpstr>
      <vt:lpstr>Baseline Data</vt:lpstr>
      <vt:lpstr>Current Period</vt:lpstr>
      <vt:lpstr>Activity Daily Summary</vt:lpstr>
      <vt:lpstr>Individual Activity</vt:lpstr>
      <vt:lpstr>Lists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Toby Swain</cp:lastModifiedBy>
  <dcterms:modified xsi:type="dcterms:W3CDTF">2026-07-16T14:51:56Z</dcterms:modified>
</cp:coreProperties>
</file>